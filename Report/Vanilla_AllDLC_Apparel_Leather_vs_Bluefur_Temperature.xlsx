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재별 온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의상별 소재 착용 온도 (°C) - 쾌적 온도 (Human 16~26°C)·소재A/B StuffPower 입력 시 자동 갱신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'소재별 온도'!K6</f>
            </strRef>
          </tx>
          <spPr>
            <a:ln>
              <a:prstDash val="solid"/>
            </a:ln>
          </spPr>
          <cat>
            <numRef>
              <f>'소재별 온도'!$A$7:$A$53</f>
            </numRef>
          </cat>
          <val>
            <numRef>
              <f>'소재별 온도'!$K$7:$K$53</f>
            </numRef>
          </val>
        </ser>
        <ser>
          <idx val="1"/>
          <order val="1"/>
          <tx>
            <strRef>
              <f>'소재별 온도'!L6</f>
            </strRef>
          </tx>
          <spPr>
            <a:ln>
              <a:prstDash val="solid"/>
            </a:ln>
          </spPr>
          <cat>
            <numRef>
              <f>'소재별 온도'!$A$7:$A$53</f>
            </numRef>
          </cat>
          <val>
            <numRef>
              <f>'소재별 온도'!$L$7:$L$53</f>
            </numRef>
          </val>
        </ser>
        <ser>
          <idx val="2"/>
          <order val="2"/>
          <tx>
            <strRef>
              <f>'소재별 온도'!M6</f>
            </strRef>
          </tx>
          <spPr>
            <a:ln>
              <a:prstDash val="solid"/>
            </a:ln>
          </spPr>
          <cat>
            <numRef>
              <f>'소재별 온도'!$A$7:$A$53</f>
            </numRef>
          </cat>
          <val>
            <numRef>
              <f>'소재별 온도'!$M$7:$M$53</f>
            </numRef>
          </val>
        </ser>
        <ser>
          <idx val="3"/>
          <order val="3"/>
          <tx>
            <strRef>
              <f>'소재별 온도'!N6</f>
            </strRef>
          </tx>
          <spPr>
            <a:ln>
              <a:prstDash val="solid"/>
            </a:ln>
          </spPr>
          <cat>
            <numRef>
              <f>'소재별 온도'!$A$7:$A$53</f>
            </numRef>
          </cat>
          <val>
            <numRef>
              <f>'소재별 온도'!$N$7:$N$53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온도 (°C)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defName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56</row>
      <rowOff>0</rowOff>
    </from>
    <ext cx="792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쾌적 온도 (Human 16~26°C)</t>
        </is>
      </c>
      <c r="B1" s="2" t="inlineStr">
        <is>
          <t>Cold</t>
        </is>
      </c>
      <c r="C1" s="2" t="inlineStr">
        <is>
          <t>Heat</t>
        </is>
      </c>
      <c r="F1" t="inlineStr">
        <is>
          <t>소재A</t>
        </is>
      </c>
      <c r="G1" s="2" t="inlineStr">
        <is>
          <t>Cold</t>
        </is>
      </c>
      <c r="H1" s="2" t="inlineStr">
        <is>
          <t>Heat</t>
        </is>
      </c>
      <c r="I1" t="inlineStr">
        <is>
          <t>소재B</t>
        </is>
      </c>
      <c r="J1" s="2" t="inlineStr">
        <is>
          <t>Cold</t>
        </is>
      </c>
      <c r="K1" s="2" t="inlineStr">
        <is>
          <t>Heat</t>
        </is>
      </c>
    </row>
    <row r="2">
      <c r="A2" t="inlineStr">
        <is>
          <t>(입력값 변경 시 차트 자동 갱신)</t>
        </is>
      </c>
      <c r="B2" t="n">
        <v>16</v>
      </c>
      <c r="C2" t="n">
        <v>26</v>
      </c>
      <c r="F2" t="inlineStr">
        <is>
          <t>가죽</t>
        </is>
      </c>
      <c r="G2" t="n">
        <v>16</v>
      </c>
      <c r="H2" t="n">
        <v>16</v>
      </c>
      <c r="I2" t="inlineStr">
        <is>
          <t>머플로</t>
        </is>
      </c>
      <c r="J2" t="n">
        <v>20</v>
      </c>
      <c r="K2" t="n">
        <v>16</v>
      </c>
    </row>
    <row r="6">
      <c r="A6" s="3" t="inlineStr">
        <is>
          <t>defName</t>
        </is>
      </c>
      <c r="B6" s="3" t="inlineStr">
        <is>
          <t>유형</t>
        </is>
      </c>
      <c r="C6" s="3" t="inlineStr">
        <is>
          <t>Cold배수</t>
        </is>
      </c>
      <c r="D6" s="3" t="inlineStr">
        <is>
          <t>Heat배수</t>
        </is>
      </c>
      <c r="E6" s="3" t="inlineStr">
        <is>
          <t>고정Cold</t>
        </is>
      </c>
      <c r="F6" s="3" t="inlineStr">
        <is>
          <t>고정Heat</t>
        </is>
      </c>
      <c r="G6" s="3" t="inlineStr">
        <is>
          <t>소재A Ins_Cold</t>
        </is>
      </c>
      <c r="H6" s="3" t="inlineStr">
        <is>
          <t>소재A Ins_Heat</t>
        </is>
      </c>
      <c r="I6" s="3" t="inlineStr">
        <is>
          <t>소재B Ins_Cold</t>
        </is>
      </c>
      <c r="J6" s="3" t="inlineStr">
        <is>
          <t>소재B Ins_Heat</t>
        </is>
      </c>
      <c r="K6" s="3" t="inlineStr">
        <is>
          <t>소재A Min°C</t>
        </is>
      </c>
      <c r="L6" s="3" t="inlineStr">
        <is>
          <t>소재A Max°C</t>
        </is>
      </c>
      <c r="M6" s="3" t="inlineStr">
        <is>
          <t>소재B Min°C</t>
        </is>
      </c>
      <c r="N6" s="3" t="inlineStr">
        <is>
          <t>소재B Max°C</t>
        </is>
      </c>
    </row>
    <row r="7">
      <c r="A7" s="4" t="inlineStr">
        <is>
          <t>Apparel_TribalA</t>
        </is>
      </c>
      <c r="B7" s="4" t="inlineStr">
        <is>
          <t>재료의존</t>
        </is>
      </c>
      <c r="C7" s="4" t="n">
        <v>0.55</v>
      </c>
      <c r="D7" s="4" t="n">
        <v>0.55</v>
      </c>
      <c r="E7" s="4" t="n">
        <v>0</v>
      </c>
      <c r="F7" s="4" t="n">
        <v>0</v>
      </c>
      <c r="G7" s="4">
        <f>C7*$G$2</f>
        <v/>
      </c>
      <c r="H7" s="4">
        <f>D7*$H$2</f>
        <v/>
      </c>
      <c r="I7" s="4">
        <f>C7*$J$2</f>
        <v/>
      </c>
      <c r="J7" s="4">
        <f>D7*$K$2</f>
        <v/>
      </c>
      <c r="K7" s="4">
        <f>$B$2-G7</f>
        <v/>
      </c>
      <c r="L7" s="4">
        <f>$C$2+H7</f>
        <v/>
      </c>
      <c r="M7" s="4">
        <f>$B$2-I7</f>
        <v/>
      </c>
      <c r="N7" s="4">
        <f>$C$2+J7</f>
        <v/>
      </c>
    </row>
    <row r="8">
      <c r="A8" s="4" t="inlineStr">
        <is>
          <t>Apparel_Parka</t>
        </is>
      </c>
      <c r="B8" s="4" t="inlineStr">
        <is>
          <t>재료의존</t>
        </is>
      </c>
      <c r="C8" s="4" t="n">
        <v>2</v>
      </c>
      <c r="D8" s="4" t="n">
        <v>0</v>
      </c>
      <c r="E8" s="4" t="n">
        <v>0</v>
      </c>
      <c r="F8" s="4" t="n">
        <v>0</v>
      </c>
      <c r="G8" s="4">
        <f>C8*$G$2</f>
        <v/>
      </c>
      <c r="H8" s="4">
        <f>D8*$H$2</f>
        <v/>
      </c>
      <c r="I8" s="4">
        <f>C8*$J$2</f>
        <v/>
      </c>
      <c r="J8" s="4">
        <f>D8*$K$2</f>
        <v/>
      </c>
      <c r="K8" s="4">
        <f>$B$2-G8</f>
        <v/>
      </c>
      <c r="L8" s="4">
        <f>$C$2+H8</f>
        <v/>
      </c>
      <c r="M8" s="4">
        <f>$B$2-I8</f>
        <v/>
      </c>
      <c r="N8" s="4">
        <f>$C$2+J8</f>
        <v/>
      </c>
    </row>
    <row r="9">
      <c r="A9" s="4" t="inlineStr">
        <is>
          <t>Apparel_Pants</t>
        </is>
      </c>
      <c r="B9" s="4" t="inlineStr">
        <is>
          <t>재료의존</t>
        </is>
      </c>
      <c r="C9" s="4" t="n">
        <v>0.2</v>
      </c>
      <c r="D9" s="4" t="n">
        <v>0.08</v>
      </c>
      <c r="E9" s="4" t="n">
        <v>0</v>
      </c>
      <c r="F9" s="4" t="n">
        <v>0</v>
      </c>
      <c r="G9" s="4">
        <f>C9*$G$2</f>
        <v/>
      </c>
      <c r="H9" s="4">
        <f>D9*$H$2</f>
        <v/>
      </c>
      <c r="I9" s="4">
        <f>C9*$J$2</f>
        <v/>
      </c>
      <c r="J9" s="4">
        <f>D9*$K$2</f>
        <v/>
      </c>
      <c r="K9" s="4">
        <f>$B$2-G9</f>
        <v/>
      </c>
      <c r="L9" s="4">
        <f>$C$2+H9</f>
        <v/>
      </c>
      <c r="M9" s="4">
        <f>$B$2-I9</f>
        <v/>
      </c>
      <c r="N9" s="4">
        <f>$C$2+J9</f>
        <v/>
      </c>
    </row>
    <row r="10">
      <c r="A10" s="4" t="inlineStr">
        <is>
          <t>Apparel_BasicShirt</t>
        </is>
      </c>
      <c r="B10" s="4" t="inlineStr">
        <is>
          <t>재료의존</t>
        </is>
      </c>
      <c r="C10" s="4" t="n">
        <v>0.22</v>
      </c>
      <c r="D10" s="4" t="n">
        <v>0.1</v>
      </c>
      <c r="E10" s="4" t="n">
        <v>0</v>
      </c>
      <c r="F10" s="4" t="n">
        <v>0</v>
      </c>
      <c r="G10" s="4">
        <f>C10*$G$2</f>
        <v/>
      </c>
      <c r="H10" s="4">
        <f>D10*$H$2</f>
        <v/>
      </c>
      <c r="I10" s="4">
        <f>C10*$J$2</f>
        <v/>
      </c>
      <c r="J10" s="4">
        <f>D10*$K$2</f>
        <v/>
      </c>
      <c r="K10" s="4">
        <f>$B$2-G10</f>
        <v/>
      </c>
      <c r="L10" s="4">
        <f>$C$2+H10</f>
        <v/>
      </c>
      <c r="M10" s="4">
        <f>$B$2-I10</f>
        <v/>
      </c>
      <c r="N10" s="4">
        <f>$C$2+J10</f>
        <v/>
      </c>
    </row>
    <row r="11">
      <c r="A11" s="4" t="inlineStr">
        <is>
          <t>Apparel_CollarShirt</t>
        </is>
      </c>
      <c r="B11" s="4" t="inlineStr">
        <is>
          <t>재료의존</t>
        </is>
      </c>
      <c r="C11" s="4" t="n">
        <v>0.26</v>
      </c>
      <c r="D11" s="4" t="n">
        <v>0.1</v>
      </c>
      <c r="E11" s="4" t="n">
        <v>0</v>
      </c>
      <c r="F11" s="4" t="n">
        <v>0</v>
      </c>
      <c r="G11" s="4">
        <f>C11*$G$2</f>
        <v/>
      </c>
      <c r="H11" s="4">
        <f>D11*$H$2</f>
        <v/>
      </c>
      <c r="I11" s="4">
        <f>C11*$J$2</f>
        <v/>
      </c>
      <c r="J11" s="4">
        <f>D11*$K$2</f>
        <v/>
      </c>
      <c r="K11" s="4">
        <f>$B$2-G11</f>
        <v/>
      </c>
      <c r="L11" s="4">
        <f>$C$2+H11</f>
        <v/>
      </c>
      <c r="M11" s="4">
        <f>$B$2-I11</f>
        <v/>
      </c>
      <c r="N11" s="4">
        <f>$C$2+J11</f>
        <v/>
      </c>
    </row>
    <row r="12">
      <c r="A12" s="4" t="inlineStr">
        <is>
          <t>Apparel_Duster</t>
        </is>
      </c>
      <c r="B12" s="4" t="inlineStr">
        <is>
          <t>재료의존</t>
        </is>
      </c>
      <c r="C12" s="4" t="n">
        <v>0.6</v>
      </c>
      <c r="D12" s="4" t="n">
        <v>0.85</v>
      </c>
      <c r="E12" s="4" t="n">
        <v>0</v>
      </c>
      <c r="F12" s="4" t="n">
        <v>0</v>
      </c>
      <c r="G12" s="4">
        <f>C12*$G$2</f>
        <v/>
      </c>
      <c r="H12" s="4">
        <f>D12*$H$2</f>
        <v/>
      </c>
      <c r="I12" s="4">
        <f>C12*$J$2</f>
        <v/>
      </c>
      <c r="J12" s="4">
        <f>D12*$K$2</f>
        <v/>
      </c>
      <c r="K12" s="4">
        <f>$B$2-G12</f>
        <v/>
      </c>
      <c r="L12" s="4">
        <f>$C$2+H12</f>
        <v/>
      </c>
      <c r="M12" s="4">
        <f>$B$2-I12</f>
        <v/>
      </c>
      <c r="N12" s="4">
        <f>$C$2+J12</f>
        <v/>
      </c>
    </row>
    <row r="13">
      <c r="A13" s="4" t="inlineStr">
        <is>
          <t>Apparel_Jacket</t>
        </is>
      </c>
      <c r="B13" s="4" t="inlineStr">
        <is>
          <t>재료의존</t>
        </is>
      </c>
      <c r="C13" s="4" t="n">
        <v>0.8</v>
      </c>
      <c r="D13" s="4" t="n">
        <v>0.3</v>
      </c>
      <c r="E13" s="4" t="n">
        <v>0</v>
      </c>
      <c r="F13" s="4" t="n">
        <v>0</v>
      </c>
      <c r="G13" s="4">
        <f>C13*$G$2</f>
        <v/>
      </c>
      <c r="H13" s="4">
        <f>D13*$H$2</f>
        <v/>
      </c>
      <c r="I13" s="4">
        <f>C13*$J$2</f>
        <v/>
      </c>
      <c r="J13" s="4">
        <f>D13*$K$2</f>
        <v/>
      </c>
      <c r="K13" s="4">
        <f>$B$2-G13</f>
        <v/>
      </c>
      <c r="L13" s="4">
        <f>$C$2+H13</f>
        <v/>
      </c>
      <c r="M13" s="4">
        <f>$B$2-I13</f>
        <v/>
      </c>
      <c r="N13" s="4">
        <f>$C$2+J13</f>
        <v/>
      </c>
    </row>
    <row r="14">
      <c r="A14" s="4" t="inlineStr">
        <is>
          <t>Apparel_PlateArmor</t>
        </is>
      </c>
      <c r="B14" s="4" t="inlineStr">
        <is>
          <t>재료의존</t>
        </is>
      </c>
      <c r="C14" s="4" t="n">
        <v>1</v>
      </c>
      <c r="D14" s="4" t="n">
        <v>0</v>
      </c>
      <c r="E14" s="4" t="n">
        <v>0</v>
      </c>
      <c r="F14" s="4" t="n">
        <v>0</v>
      </c>
      <c r="G14" s="4">
        <f>C14*$G$2</f>
        <v/>
      </c>
      <c r="H14" s="4">
        <f>D14*$H$2</f>
        <v/>
      </c>
      <c r="I14" s="4">
        <f>C14*$J$2</f>
        <v/>
      </c>
      <c r="J14" s="4">
        <f>D14*$K$2</f>
        <v/>
      </c>
      <c r="K14" s="4">
        <f>$B$2-G14</f>
        <v/>
      </c>
      <c r="L14" s="4">
        <f>$C$2+H14</f>
        <v/>
      </c>
      <c r="M14" s="4">
        <f>$B$2-I14</f>
        <v/>
      </c>
      <c r="N14" s="4">
        <f>$C$2+J14</f>
        <v/>
      </c>
    </row>
    <row r="15">
      <c r="A15" s="4" t="inlineStr">
        <is>
          <t>Apparel_CowboyHat</t>
        </is>
      </c>
      <c r="B15" s="4" t="inlineStr">
        <is>
          <t>재료의존</t>
        </is>
      </c>
      <c r="C15" s="4" t="n">
        <v>0.1</v>
      </c>
      <c r="D15" s="4" t="n">
        <v>0.5</v>
      </c>
      <c r="E15" s="4" t="n">
        <v>0</v>
      </c>
      <c r="F15" s="4" t="n">
        <v>0</v>
      </c>
      <c r="G15" s="4">
        <f>C15*$G$2</f>
        <v/>
      </c>
      <c r="H15" s="4">
        <f>D15*$H$2</f>
        <v/>
      </c>
      <c r="I15" s="4">
        <f>C15*$J$2</f>
        <v/>
      </c>
      <c r="J15" s="4">
        <f>D15*$K$2</f>
        <v/>
      </c>
      <c r="K15" s="4">
        <f>$B$2-G15</f>
        <v/>
      </c>
      <c r="L15" s="4">
        <f>$C$2+H15</f>
        <v/>
      </c>
      <c r="M15" s="4">
        <f>$B$2-I15</f>
        <v/>
      </c>
      <c r="N15" s="4">
        <f>$C$2+J15</f>
        <v/>
      </c>
    </row>
    <row r="16">
      <c r="A16" s="4" t="inlineStr">
        <is>
          <t>Apparel_BowlerHat</t>
        </is>
      </c>
      <c r="B16" s="4" t="inlineStr">
        <is>
          <t>재료의존</t>
        </is>
      </c>
      <c r="C16" s="4" t="n">
        <v>0.1</v>
      </c>
      <c r="D16" s="4" t="n">
        <v>0.4</v>
      </c>
      <c r="E16" s="4" t="n">
        <v>0</v>
      </c>
      <c r="F16" s="4" t="n">
        <v>0</v>
      </c>
      <c r="G16" s="4">
        <f>C16*$G$2</f>
        <v/>
      </c>
      <c r="H16" s="4">
        <f>D16*$H$2</f>
        <v/>
      </c>
      <c r="I16" s="4">
        <f>C16*$J$2</f>
        <v/>
      </c>
      <c r="J16" s="4">
        <f>D16*$K$2</f>
        <v/>
      </c>
      <c r="K16" s="4">
        <f>$B$2-G16</f>
        <v/>
      </c>
      <c r="L16" s="4">
        <f>$C$2+H16</f>
        <v/>
      </c>
      <c r="M16" s="4">
        <f>$B$2-I16</f>
        <v/>
      </c>
      <c r="N16" s="4">
        <f>$C$2+J16</f>
        <v/>
      </c>
    </row>
    <row r="17">
      <c r="A17" s="4" t="inlineStr">
        <is>
          <t>Apparel_TribalHeaddress</t>
        </is>
      </c>
      <c r="B17" s="4" t="inlineStr">
        <is>
          <t>재료의존</t>
        </is>
      </c>
      <c r="C17" s="4" t="n">
        <v>0.1</v>
      </c>
      <c r="D17" s="4" t="n">
        <v>0.15</v>
      </c>
      <c r="E17" s="4" t="n">
        <v>0</v>
      </c>
      <c r="F17" s="4" t="n">
        <v>0</v>
      </c>
      <c r="G17" s="4">
        <f>C17*$G$2</f>
        <v/>
      </c>
      <c r="H17" s="4">
        <f>D17*$H$2</f>
        <v/>
      </c>
      <c r="I17" s="4">
        <f>C17*$J$2</f>
        <v/>
      </c>
      <c r="J17" s="4">
        <f>D17*$K$2</f>
        <v/>
      </c>
      <c r="K17" s="4">
        <f>$B$2-G17</f>
        <v/>
      </c>
      <c r="L17" s="4">
        <f>$C$2+H17</f>
        <v/>
      </c>
      <c r="M17" s="4">
        <f>$B$2-I17</f>
        <v/>
      </c>
      <c r="N17" s="4">
        <f>$C$2+J17</f>
        <v/>
      </c>
    </row>
    <row r="18">
      <c r="A18" s="4" t="inlineStr">
        <is>
          <t>Apparel_Tuque</t>
        </is>
      </c>
      <c r="B18" s="4" t="inlineStr">
        <is>
          <t>재료의존</t>
        </is>
      </c>
      <c r="C18" s="4" t="n">
        <v>0.5</v>
      </c>
      <c r="D18" s="4" t="n">
        <v>0</v>
      </c>
      <c r="E18" s="4" t="n">
        <v>0</v>
      </c>
      <c r="F18" s="4" t="n">
        <v>0</v>
      </c>
      <c r="G18" s="4">
        <f>C18*$G$2</f>
        <v/>
      </c>
      <c r="H18" s="4">
        <f>D18*$H$2</f>
        <v/>
      </c>
      <c r="I18" s="4">
        <f>C18*$J$2</f>
        <v/>
      </c>
      <c r="J18" s="4">
        <f>D18*$K$2</f>
        <v/>
      </c>
      <c r="K18" s="4">
        <f>$B$2-G18</f>
        <v/>
      </c>
      <c r="L18" s="4">
        <f>$C$2+H18</f>
        <v/>
      </c>
      <c r="M18" s="4">
        <f>$B$2-I18</f>
        <v/>
      </c>
      <c r="N18" s="4">
        <f>$C$2+J18</f>
        <v/>
      </c>
    </row>
    <row r="19">
      <c r="A19" s="4" t="inlineStr">
        <is>
          <t>Apparel_WarMask</t>
        </is>
      </c>
      <c r="B19" s="4" t="inlineStr">
        <is>
          <t>재료의존</t>
        </is>
      </c>
      <c r="C19" s="4" t="n">
        <v>0.05</v>
      </c>
      <c r="D19" s="4" t="n">
        <v>0.05</v>
      </c>
      <c r="E19" s="4" t="n">
        <v>0</v>
      </c>
      <c r="F19" s="4" t="n">
        <v>0</v>
      </c>
      <c r="G19" s="4">
        <f>C19*$G$2</f>
        <v/>
      </c>
      <c r="H19" s="4">
        <f>D19*$H$2</f>
        <v/>
      </c>
      <c r="I19" s="4">
        <f>C19*$J$2</f>
        <v/>
      </c>
      <c r="J19" s="4">
        <f>D19*$K$2</f>
        <v/>
      </c>
      <c r="K19" s="4">
        <f>$B$2-G19</f>
        <v/>
      </c>
      <c r="L19" s="4">
        <f>$C$2+H19</f>
        <v/>
      </c>
      <c r="M19" s="4">
        <f>$B$2-I19</f>
        <v/>
      </c>
      <c r="N19" s="4">
        <f>$C$2+J19</f>
        <v/>
      </c>
    </row>
    <row r="20">
      <c r="A20" s="4" t="inlineStr">
        <is>
          <t>Apparel_WarVeil</t>
        </is>
      </c>
      <c r="B20" s="4" t="inlineStr">
        <is>
          <t>재료의존</t>
        </is>
      </c>
      <c r="C20" s="4" t="n">
        <v>0.05</v>
      </c>
      <c r="D20" s="4" t="n">
        <v>0.05</v>
      </c>
      <c r="E20" s="4" t="n">
        <v>0</v>
      </c>
      <c r="F20" s="4" t="n">
        <v>0</v>
      </c>
      <c r="G20" s="4">
        <f>C20*$G$2</f>
        <v/>
      </c>
      <c r="H20" s="4">
        <f>D20*$H$2</f>
        <v/>
      </c>
      <c r="I20" s="4">
        <f>C20*$J$2</f>
        <v/>
      </c>
      <c r="J20" s="4">
        <f>D20*$K$2</f>
        <v/>
      </c>
      <c r="K20" s="4">
        <f>$B$2-G20</f>
        <v/>
      </c>
      <c r="L20" s="4">
        <f>$C$2+H20</f>
        <v/>
      </c>
      <c r="M20" s="4">
        <f>$B$2-I20</f>
        <v/>
      </c>
      <c r="N20" s="4">
        <f>$C$2+J20</f>
        <v/>
      </c>
    </row>
    <row r="21">
      <c r="A21" s="4" t="inlineStr">
        <is>
          <t>Apparel_SimpleHelmet</t>
        </is>
      </c>
      <c r="B21" s="4" t="inlineStr">
        <is>
          <t>재료의존</t>
        </is>
      </c>
      <c r="C21" s="4" t="n">
        <v>0.15</v>
      </c>
      <c r="D21" s="4" t="n">
        <v>0</v>
      </c>
      <c r="E21" s="4" t="n">
        <v>0</v>
      </c>
      <c r="F21" s="4" t="n">
        <v>0</v>
      </c>
      <c r="G21" s="4">
        <f>C21*$G$2</f>
        <v/>
      </c>
      <c r="H21" s="4">
        <f>D21*$H$2</f>
        <v/>
      </c>
      <c r="I21" s="4">
        <f>C21*$J$2</f>
        <v/>
      </c>
      <c r="J21" s="4">
        <f>D21*$K$2</f>
        <v/>
      </c>
      <c r="K21" s="4">
        <f>$B$2-G21</f>
        <v/>
      </c>
      <c r="L21" s="4">
        <f>$C$2+H21</f>
        <v/>
      </c>
      <c r="M21" s="4">
        <f>$B$2-I21</f>
        <v/>
      </c>
      <c r="N21" s="4">
        <f>$C$2+J21</f>
        <v/>
      </c>
    </row>
    <row r="22">
      <c r="A22" s="4" t="inlineStr">
        <is>
          <t>Apparel_AdvancedHelmet</t>
        </is>
      </c>
      <c r="B22" s="4" t="inlineStr">
        <is>
          <t>재료의존</t>
        </is>
      </c>
      <c r="C22" s="4" t="n">
        <v>0.15</v>
      </c>
      <c r="D22" s="4" t="n">
        <v>0</v>
      </c>
      <c r="E22" s="4" t="n">
        <v>0</v>
      </c>
      <c r="F22" s="4" t="n">
        <v>0</v>
      </c>
      <c r="G22" s="4">
        <f>C22*$G$2</f>
        <v/>
      </c>
      <c r="H22" s="4">
        <f>D22*$H$2</f>
        <v/>
      </c>
      <c r="I22" s="4">
        <f>C22*$J$2</f>
        <v/>
      </c>
      <c r="J22" s="4">
        <f>D22*$K$2</f>
        <v/>
      </c>
      <c r="K22" s="4">
        <f>$B$2-G22</f>
        <v/>
      </c>
      <c r="L22" s="4">
        <f>$C$2+H22</f>
        <v/>
      </c>
      <c r="M22" s="4">
        <f>$B$2-I22</f>
        <v/>
      </c>
      <c r="N22" s="4">
        <f>$C$2+J22</f>
        <v/>
      </c>
    </row>
    <row r="23">
      <c r="A23" s="4" t="inlineStr">
        <is>
          <t>Apparel_Cape</t>
        </is>
      </c>
      <c r="B23" s="4" t="inlineStr">
        <is>
          <t>재료의존</t>
        </is>
      </c>
      <c r="C23" s="4" t="n">
        <v>0.6</v>
      </c>
      <c r="D23" s="4" t="n">
        <v>0.85</v>
      </c>
      <c r="E23" s="4" t="n">
        <v>0</v>
      </c>
      <c r="F23" s="4" t="n">
        <v>0</v>
      </c>
      <c r="G23" s="4">
        <f>C23*$G$2</f>
        <v/>
      </c>
      <c r="H23" s="4">
        <f>D23*$H$2</f>
        <v/>
      </c>
      <c r="I23" s="4">
        <f>C23*$J$2</f>
        <v/>
      </c>
      <c r="J23" s="4">
        <f>D23*$K$2</f>
        <v/>
      </c>
      <c r="K23" s="4">
        <f>$B$2-G23</f>
        <v/>
      </c>
      <c r="L23" s="4">
        <f>$C$2+H23</f>
        <v/>
      </c>
      <c r="M23" s="4">
        <f>$B$2-I23</f>
        <v/>
      </c>
      <c r="N23" s="4">
        <f>$C$2+J23</f>
        <v/>
      </c>
    </row>
    <row r="24">
      <c r="A24" s="4" t="inlineStr">
        <is>
          <t>Apparel_Robe</t>
        </is>
      </c>
      <c r="B24" s="4" t="inlineStr">
        <is>
          <t>재료의존</t>
        </is>
      </c>
      <c r="C24" s="4" t="n">
        <v>0.8</v>
      </c>
      <c r="D24" s="4" t="n">
        <v>0.25</v>
      </c>
      <c r="E24" s="4" t="n">
        <v>0</v>
      </c>
      <c r="F24" s="4" t="n">
        <v>0</v>
      </c>
      <c r="G24" s="4">
        <f>C24*$G$2</f>
        <v/>
      </c>
      <c r="H24" s="4">
        <f>D24*$H$2</f>
        <v/>
      </c>
      <c r="I24" s="4">
        <f>C24*$J$2</f>
        <v/>
      </c>
      <c r="J24" s="4">
        <f>D24*$K$2</f>
        <v/>
      </c>
      <c r="K24" s="4">
        <f>$B$2-G24</f>
        <v/>
      </c>
      <c r="L24" s="4">
        <f>$C$2+H24</f>
        <v/>
      </c>
      <c r="M24" s="4">
        <f>$B$2-I24</f>
        <v/>
      </c>
      <c r="N24" s="4">
        <f>$C$2+J24</f>
        <v/>
      </c>
    </row>
    <row r="25">
      <c r="A25" s="4" t="inlineStr">
        <is>
          <t>Apparel_HatHood</t>
        </is>
      </c>
      <c r="B25" s="4" t="inlineStr">
        <is>
          <t>재료의존</t>
        </is>
      </c>
      <c r="C25" s="4" t="n">
        <v>0.1</v>
      </c>
      <c r="D25" s="4" t="n">
        <v>0.25</v>
      </c>
      <c r="E25" s="4" t="n">
        <v>0</v>
      </c>
      <c r="F25" s="4" t="n">
        <v>0</v>
      </c>
      <c r="G25" s="4">
        <f>C25*$G$2</f>
        <v/>
      </c>
      <c r="H25" s="4">
        <f>D25*$H$2</f>
        <v/>
      </c>
      <c r="I25" s="4">
        <f>C25*$J$2</f>
        <v/>
      </c>
      <c r="J25" s="4">
        <f>D25*$K$2</f>
        <v/>
      </c>
      <c r="K25" s="4">
        <f>$B$2-G25</f>
        <v/>
      </c>
      <c r="L25" s="4">
        <f>$C$2+H25</f>
        <v/>
      </c>
      <c r="M25" s="4">
        <f>$B$2-I25</f>
        <v/>
      </c>
      <c r="N25" s="4">
        <f>$C$2+J25</f>
        <v/>
      </c>
    </row>
    <row r="26">
      <c r="A26" s="4" t="inlineStr">
        <is>
          <t>Apparel_ClothMask</t>
        </is>
      </c>
      <c r="B26" s="4" t="inlineStr">
        <is>
          <t>재료의존</t>
        </is>
      </c>
      <c r="C26" s="4" t="n">
        <v>0.02</v>
      </c>
      <c r="D26" s="4" t="n">
        <v>0.02</v>
      </c>
      <c r="E26" s="4" t="n">
        <v>0</v>
      </c>
      <c r="F26" s="4" t="n">
        <v>0</v>
      </c>
      <c r="G26" s="4">
        <f>C26*$G$2</f>
        <v/>
      </c>
      <c r="H26" s="4">
        <f>D26*$H$2</f>
        <v/>
      </c>
      <c r="I26" s="4">
        <f>C26*$J$2</f>
        <v/>
      </c>
      <c r="J26" s="4">
        <f>D26*$K$2</f>
        <v/>
      </c>
      <c r="K26" s="4">
        <f>$B$2-G26</f>
        <v/>
      </c>
      <c r="L26" s="4">
        <f>$C$2+H26</f>
        <v/>
      </c>
      <c r="M26" s="4">
        <f>$B$2-I26</f>
        <v/>
      </c>
      <c r="N26" s="4">
        <f>$C$2+J26</f>
        <v/>
      </c>
    </row>
    <row r="27">
      <c r="A27" s="4" t="inlineStr">
        <is>
          <t>Apparel_KidRomper</t>
        </is>
      </c>
      <c r="B27" s="4" t="inlineStr">
        <is>
          <t>재료의존</t>
        </is>
      </c>
      <c r="C27" s="4" t="n">
        <v>0.22</v>
      </c>
      <c r="D27" s="4" t="n">
        <v>0.1</v>
      </c>
      <c r="E27" s="4" t="n">
        <v>0</v>
      </c>
      <c r="F27" s="4" t="n">
        <v>0</v>
      </c>
      <c r="G27" s="4">
        <f>C27*$G$2</f>
        <v/>
      </c>
      <c r="H27" s="4">
        <f>D27*$H$2</f>
        <v/>
      </c>
      <c r="I27" s="4">
        <f>C27*$J$2</f>
        <v/>
      </c>
      <c r="J27" s="4">
        <f>D27*$K$2</f>
        <v/>
      </c>
      <c r="K27" s="4">
        <f>$B$2-G27</f>
        <v/>
      </c>
      <c r="L27" s="4">
        <f>$C$2+H27</f>
        <v/>
      </c>
      <c r="M27" s="4">
        <f>$B$2-I27</f>
        <v/>
      </c>
      <c r="N27" s="4">
        <f>$C$2+J27</f>
        <v/>
      </c>
    </row>
    <row r="28">
      <c r="A28" s="4" t="inlineStr">
        <is>
          <t>Apparel_KidShirt</t>
        </is>
      </c>
      <c r="B28" s="4" t="inlineStr">
        <is>
          <t>재료의존</t>
        </is>
      </c>
      <c r="C28" s="4" t="n">
        <v>0.22</v>
      </c>
      <c r="D28" s="4" t="n">
        <v>0.1</v>
      </c>
      <c r="E28" s="4" t="n">
        <v>0</v>
      </c>
      <c r="F28" s="4" t="n">
        <v>0</v>
      </c>
      <c r="G28" s="4">
        <f>C28*$G$2</f>
        <v/>
      </c>
      <c r="H28" s="4">
        <f>D28*$H$2</f>
        <v/>
      </c>
      <c r="I28" s="4">
        <f>C28*$J$2</f>
        <v/>
      </c>
      <c r="J28" s="4">
        <f>D28*$K$2</f>
        <v/>
      </c>
      <c r="K28" s="4">
        <f>$B$2-G28</f>
        <v/>
      </c>
      <c r="L28" s="4">
        <f>$C$2+H28</f>
        <v/>
      </c>
      <c r="M28" s="4">
        <f>$B$2-I28</f>
        <v/>
      </c>
      <c r="N28" s="4">
        <f>$C$2+J28</f>
        <v/>
      </c>
    </row>
    <row r="29">
      <c r="A29" s="4" t="inlineStr">
        <is>
          <t>Apparel_KidPants</t>
        </is>
      </c>
      <c r="B29" s="4" t="inlineStr">
        <is>
          <t>재료의존</t>
        </is>
      </c>
      <c r="C29" s="4" t="n">
        <v>0.2</v>
      </c>
      <c r="D29" s="4" t="n">
        <v>0.08</v>
      </c>
      <c r="E29" s="4" t="n">
        <v>0</v>
      </c>
      <c r="F29" s="4" t="n">
        <v>0</v>
      </c>
      <c r="G29" s="4">
        <f>C29*$G$2</f>
        <v/>
      </c>
      <c r="H29" s="4">
        <f>D29*$H$2</f>
        <v/>
      </c>
      <c r="I29" s="4">
        <f>C29*$J$2</f>
        <v/>
      </c>
      <c r="J29" s="4">
        <f>D29*$K$2</f>
        <v/>
      </c>
      <c r="K29" s="4">
        <f>$B$2-G29</f>
        <v/>
      </c>
      <c r="L29" s="4">
        <f>$C$2+H29</f>
        <v/>
      </c>
      <c r="M29" s="4">
        <f>$B$2-I29</f>
        <v/>
      </c>
      <c r="N29" s="4">
        <f>$C$2+J29</f>
        <v/>
      </c>
    </row>
    <row r="30">
      <c r="A30" s="4" t="inlineStr">
        <is>
          <t>Apparel_KidParka</t>
        </is>
      </c>
      <c r="B30" s="4" t="inlineStr">
        <is>
          <t>재료의존</t>
        </is>
      </c>
      <c r="C30" s="4" t="n">
        <v>1.5</v>
      </c>
      <c r="D30" s="4" t="n">
        <v>0</v>
      </c>
      <c r="E30" s="4" t="n">
        <v>0</v>
      </c>
      <c r="F30" s="4" t="n">
        <v>0</v>
      </c>
      <c r="G30" s="4">
        <f>C30*$G$2</f>
        <v/>
      </c>
      <c r="H30" s="4">
        <f>D30*$H$2</f>
        <v/>
      </c>
      <c r="I30" s="4">
        <f>C30*$J$2</f>
        <v/>
      </c>
      <c r="J30" s="4">
        <f>D30*$K$2</f>
        <v/>
      </c>
      <c r="K30" s="4">
        <f>$B$2-G30</f>
        <v/>
      </c>
      <c r="L30" s="4">
        <f>$C$2+H30</f>
        <v/>
      </c>
      <c r="M30" s="4">
        <f>$B$2-I30</f>
        <v/>
      </c>
      <c r="N30" s="4">
        <f>$C$2+J30</f>
        <v/>
      </c>
    </row>
    <row r="31">
      <c r="A31" s="4" t="inlineStr">
        <is>
          <t>Apparel_KidTribal</t>
        </is>
      </c>
      <c r="B31" s="4" t="inlineStr">
        <is>
          <t>재료의존</t>
        </is>
      </c>
      <c r="C31" s="4" t="n">
        <v>0.5</v>
      </c>
      <c r="D31" s="4" t="n">
        <v>0.5</v>
      </c>
      <c r="E31" s="4" t="n">
        <v>0</v>
      </c>
      <c r="F31" s="4" t="n">
        <v>0</v>
      </c>
      <c r="G31" s="4">
        <f>C31*$G$2</f>
        <v/>
      </c>
      <c r="H31" s="4">
        <f>D31*$H$2</f>
        <v/>
      </c>
      <c r="I31" s="4">
        <f>C31*$J$2</f>
        <v/>
      </c>
      <c r="J31" s="4">
        <f>D31*$K$2</f>
        <v/>
      </c>
      <c r="K31" s="4">
        <f>$B$2-G31</f>
        <v/>
      </c>
      <c r="L31" s="4">
        <f>$C$2+H31</f>
        <v/>
      </c>
      <c r="M31" s="4">
        <f>$B$2-I31</f>
        <v/>
      </c>
      <c r="N31" s="4">
        <f>$C$2+J31</f>
        <v/>
      </c>
    </row>
    <row r="32">
      <c r="A32" s="4" t="inlineStr">
        <is>
          <t>Apparel_KidHelmet</t>
        </is>
      </c>
      <c r="B32" s="4" t="inlineStr">
        <is>
          <t>재료의존</t>
        </is>
      </c>
      <c r="C32" s="4" t="n">
        <v>0.15</v>
      </c>
      <c r="D32" s="4" t="n">
        <v>0</v>
      </c>
      <c r="E32" s="4" t="n">
        <v>0</v>
      </c>
      <c r="F32" s="4" t="n">
        <v>0</v>
      </c>
      <c r="G32" s="4">
        <f>C32*$G$2</f>
        <v/>
      </c>
      <c r="H32" s="4">
        <f>D32*$H$2</f>
        <v/>
      </c>
      <c r="I32" s="4">
        <f>C32*$J$2</f>
        <v/>
      </c>
      <c r="J32" s="4">
        <f>D32*$K$2</f>
        <v/>
      </c>
      <c r="K32" s="4">
        <f>$B$2-G32</f>
        <v/>
      </c>
      <c r="L32" s="4">
        <f>$C$2+H32</f>
        <v/>
      </c>
      <c r="M32" s="4">
        <f>$B$2-I32</f>
        <v/>
      </c>
      <c r="N32" s="4">
        <f>$C$2+J32</f>
        <v/>
      </c>
    </row>
    <row r="33">
      <c r="A33" s="4" t="inlineStr">
        <is>
          <t>Apparel_Bandolier</t>
        </is>
      </c>
      <c r="B33" s="4" t="inlineStr">
        <is>
          <t>재료의존</t>
        </is>
      </c>
      <c r="C33" s="4" t="n">
        <v>0.1</v>
      </c>
      <c r="D33" s="4" t="n">
        <v>0.1</v>
      </c>
      <c r="E33" s="4" t="n">
        <v>0</v>
      </c>
      <c r="F33" s="4" t="n">
        <v>0</v>
      </c>
      <c r="G33" s="4">
        <f>C33*$G$2</f>
        <v/>
      </c>
      <c r="H33" s="4">
        <f>D33*$H$2</f>
        <v/>
      </c>
      <c r="I33" s="4">
        <f>C33*$J$2</f>
        <v/>
      </c>
      <c r="J33" s="4">
        <f>D33*$K$2</f>
        <v/>
      </c>
      <c r="K33" s="4">
        <f>$B$2-G33</f>
        <v/>
      </c>
      <c r="L33" s="4">
        <f>$C$2+H33</f>
        <v/>
      </c>
      <c r="M33" s="4">
        <f>$B$2-I33</f>
        <v/>
      </c>
      <c r="N33" s="4">
        <f>$C$2+J33</f>
        <v/>
      </c>
    </row>
    <row r="34">
      <c r="A34" s="4" t="inlineStr">
        <is>
          <t>Apparel_Sash</t>
        </is>
      </c>
      <c r="B34" s="4" t="inlineStr">
        <is>
          <t>재료의존</t>
        </is>
      </c>
      <c r="C34" s="4" t="n">
        <v>0.1</v>
      </c>
      <c r="D34" s="4" t="n">
        <v>0.1</v>
      </c>
      <c r="E34" s="4" t="n">
        <v>0</v>
      </c>
      <c r="F34" s="4" t="n">
        <v>0</v>
      </c>
      <c r="G34" s="4">
        <f>C34*$G$2</f>
        <v/>
      </c>
      <c r="H34" s="4">
        <f>D34*$H$2</f>
        <v/>
      </c>
      <c r="I34" s="4">
        <f>C34*$J$2</f>
        <v/>
      </c>
      <c r="J34" s="4">
        <f>D34*$K$2</f>
        <v/>
      </c>
      <c r="K34" s="4">
        <f>$B$2-G34</f>
        <v/>
      </c>
      <c r="L34" s="4">
        <f>$C$2+H34</f>
        <v/>
      </c>
      <c r="M34" s="4">
        <f>$B$2-I34</f>
        <v/>
      </c>
      <c r="N34" s="4">
        <f>$C$2+J34</f>
        <v/>
      </c>
    </row>
    <row r="35">
      <c r="A35" s="4" t="inlineStr">
        <is>
          <t>Apparel_ShirtRuffle</t>
        </is>
      </c>
      <c r="B35" s="4" t="inlineStr">
        <is>
          <t>재료의존</t>
        </is>
      </c>
      <c r="C35" s="4" t="n">
        <v>0.22</v>
      </c>
      <c r="D35" s="4" t="n">
        <v>0.1</v>
      </c>
      <c r="E35" s="4" t="n">
        <v>0</v>
      </c>
      <c r="F35" s="4" t="n">
        <v>0</v>
      </c>
      <c r="G35" s="4">
        <f>C35*$G$2</f>
        <v/>
      </c>
      <c r="H35" s="4">
        <f>D35*$H$2</f>
        <v/>
      </c>
      <c r="I35" s="4">
        <f>C35*$J$2</f>
        <v/>
      </c>
      <c r="J35" s="4">
        <f>D35*$K$2</f>
        <v/>
      </c>
      <c r="K35" s="4">
        <f>$B$2-G35</f>
        <v/>
      </c>
      <c r="L35" s="4">
        <f>$C$2+H35</f>
        <v/>
      </c>
      <c r="M35" s="4">
        <f>$B$2-I35</f>
        <v/>
      </c>
      <c r="N35" s="4">
        <f>$C$2+J35</f>
        <v/>
      </c>
    </row>
    <row r="36">
      <c r="A36" s="4" t="inlineStr">
        <is>
          <t>Apparel_Corset</t>
        </is>
      </c>
      <c r="B36" s="4" t="inlineStr">
        <is>
          <t>재료의존</t>
        </is>
      </c>
      <c r="C36" s="4" t="n">
        <v>0.4</v>
      </c>
      <c r="D36" s="4" t="n">
        <v>0.1</v>
      </c>
      <c r="E36" s="4" t="n">
        <v>0</v>
      </c>
      <c r="F36" s="4" t="n">
        <v>0</v>
      </c>
      <c r="G36" s="4">
        <f>C36*$G$2</f>
        <v/>
      </c>
      <c r="H36" s="4">
        <f>D36*$H$2</f>
        <v/>
      </c>
      <c r="I36" s="4">
        <f>C36*$J$2</f>
        <v/>
      </c>
      <c r="J36" s="4">
        <f>D36*$K$2</f>
        <v/>
      </c>
      <c r="K36" s="4">
        <f>$B$2-G36</f>
        <v/>
      </c>
      <c r="L36" s="4">
        <f>$C$2+H36</f>
        <v/>
      </c>
      <c r="M36" s="4">
        <f>$B$2-I36</f>
        <v/>
      </c>
      <c r="N36" s="4">
        <f>$C$2+J36</f>
        <v/>
      </c>
    </row>
    <row r="37">
      <c r="A37" s="4" t="inlineStr">
        <is>
          <t>Apparel_VestRoyal</t>
        </is>
      </c>
      <c r="B37" s="4" t="inlineStr">
        <is>
          <t>재료의존</t>
        </is>
      </c>
      <c r="C37" s="4" t="n">
        <v>0.4</v>
      </c>
      <c r="D37" s="4" t="n">
        <v>0.1</v>
      </c>
      <c r="E37" s="4" t="n">
        <v>0</v>
      </c>
      <c r="F37" s="4" t="n">
        <v>0</v>
      </c>
      <c r="G37" s="4">
        <f>C37*$G$2</f>
        <v/>
      </c>
      <c r="H37" s="4">
        <f>D37*$H$2</f>
        <v/>
      </c>
      <c r="I37" s="4">
        <f>C37*$J$2</f>
        <v/>
      </c>
      <c r="J37" s="4">
        <f>D37*$K$2</f>
        <v/>
      </c>
      <c r="K37" s="4">
        <f>$B$2-G37</f>
        <v/>
      </c>
      <c r="L37" s="4">
        <f>$C$2+H37</f>
        <v/>
      </c>
      <c r="M37" s="4">
        <f>$B$2-I37</f>
        <v/>
      </c>
      <c r="N37" s="4">
        <f>$C$2+J37</f>
        <v/>
      </c>
    </row>
    <row r="38">
      <c r="A38" s="4" t="inlineStr">
        <is>
          <t>Apparel_RobeRoyal</t>
        </is>
      </c>
      <c r="B38" s="4" t="inlineStr">
        <is>
          <t>재료의존</t>
        </is>
      </c>
      <c r="C38" s="4" t="n">
        <v>0.8</v>
      </c>
      <c r="D38" s="4" t="n">
        <v>0.25</v>
      </c>
      <c r="E38" s="4" t="n">
        <v>0</v>
      </c>
      <c r="F38" s="4" t="n">
        <v>0</v>
      </c>
      <c r="G38" s="4">
        <f>C38*$G$2</f>
        <v/>
      </c>
      <c r="H38" s="4">
        <f>D38*$H$2</f>
        <v/>
      </c>
      <c r="I38" s="4">
        <f>C38*$J$2</f>
        <v/>
      </c>
      <c r="J38" s="4">
        <f>D38*$K$2</f>
        <v/>
      </c>
      <c r="K38" s="4">
        <f>$B$2-G38</f>
        <v/>
      </c>
      <c r="L38" s="4">
        <f>$C$2+H38</f>
        <v/>
      </c>
      <c r="M38" s="4">
        <f>$B$2-I38</f>
        <v/>
      </c>
      <c r="N38" s="4">
        <f>$C$2+J38</f>
        <v/>
      </c>
    </row>
    <row r="39">
      <c r="A39" s="4" t="inlineStr">
        <is>
          <t>Apparel_HatLadies</t>
        </is>
      </c>
      <c r="B39" s="4" t="inlineStr">
        <is>
          <t>재료의존</t>
        </is>
      </c>
      <c r="C39" s="4" t="n">
        <v>0.1</v>
      </c>
      <c r="D39" s="4" t="n">
        <v>0.25</v>
      </c>
      <c r="E39" s="4" t="n">
        <v>0</v>
      </c>
      <c r="F39" s="4" t="n">
        <v>0</v>
      </c>
      <c r="G39" s="4">
        <f>C39*$G$2</f>
        <v/>
      </c>
      <c r="H39" s="4">
        <f>D39*$H$2</f>
        <v/>
      </c>
      <c r="I39" s="4">
        <f>C39*$J$2</f>
        <v/>
      </c>
      <c r="J39" s="4">
        <f>D39*$K$2</f>
        <v/>
      </c>
      <c r="K39" s="4">
        <f>$B$2-G39</f>
        <v/>
      </c>
      <c r="L39" s="4">
        <f>$C$2+H39</f>
        <v/>
      </c>
      <c r="M39" s="4">
        <f>$B$2-I39</f>
        <v/>
      </c>
      <c r="N39" s="4">
        <f>$C$2+J39</f>
        <v/>
      </c>
    </row>
    <row r="40">
      <c r="A40" s="4" t="inlineStr">
        <is>
          <t>Apparel_HatTop</t>
        </is>
      </c>
      <c r="B40" s="4" t="inlineStr">
        <is>
          <t>재료의존</t>
        </is>
      </c>
      <c r="C40" s="4" t="n">
        <v>0.1</v>
      </c>
      <c r="D40" s="4" t="n">
        <v>0.25</v>
      </c>
      <c r="E40" s="4" t="n">
        <v>0</v>
      </c>
      <c r="F40" s="4" t="n">
        <v>0</v>
      </c>
      <c r="G40" s="4">
        <f>C40*$G$2</f>
        <v/>
      </c>
      <c r="H40" s="4">
        <f>D40*$H$2</f>
        <v/>
      </c>
      <c r="I40" s="4">
        <f>C40*$J$2</f>
        <v/>
      </c>
      <c r="J40" s="4">
        <f>D40*$K$2</f>
        <v/>
      </c>
      <c r="K40" s="4">
        <f>$B$2-G40</f>
        <v/>
      </c>
      <c r="L40" s="4">
        <f>$C$2+H40</f>
        <v/>
      </c>
      <c r="M40" s="4">
        <f>$B$2-I40</f>
        <v/>
      </c>
      <c r="N40" s="4">
        <f>$C$2+J40</f>
        <v/>
      </c>
    </row>
    <row r="41">
      <c r="A41" s="4" t="inlineStr">
        <is>
          <t>Apparel_Beret</t>
        </is>
      </c>
      <c r="B41" s="4" t="inlineStr">
        <is>
          <t>재료의존</t>
        </is>
      </c>
      <c r="C41" s="4" t="n">
        <v>0.07000000000000001</v>
      </c>
      <c r="D41" s="4" t="n">
        <v>0.15</v>
      </c>
      <c r="E41" s="4" t="n">
        <v>0</v>
      </c>
      <c r="F41" s="4" t="n">
        <v>0</v>
      </c>
      <c r="G41" s="4">
        <f>C41*$G$2</f>
        <v/>
      </c>
      <c r="H41" s="4">
        <f>D41*$H$2</f>
        <v/>
      </c>
      <c r="I41" s="4">
        <f>C41*$J$2</f>
        <v/>
      </c>
      <c r="J41" s="4">
        <f>D41*$K$2</f>
        <v/>
      </c>
      <c r="K41" s="4">
        <f>$B$2-G41</f>
        <v/>
      </c>
      <c r="L41" s="4">
        <f>$C$2+H41</f>
        <v/>
      </c>
      <c r="M41" s="4">
        <f>$B$2-I41</f>
        <v/>
      </c>
      <c r="N41" s="4">
        <f>$C$2+J41</f>
        <v/>
      </c>
    </row>
    <row r="42">
      <c r="A42" s="4" t="inlineStr">
        <is>
          <t>Apparel_BodyStrap</t>
        </is>
      </c>
      <c r="B42" s="4" t="inlineStr">
        <is>
          <t>재료의존</t>
        </is>
      </c>
      <c r="C42" s="4" t="n">
        <v>0.1</v>
      </c>
      <c r="D42" s="4" t="n">
        <v>0.1</v>
      </c>
      <c r="E42" s="4" t="n">
        <v>0</v>
      </c>
      <c r="F42" s="4" t="n">
        <v>0</v>
      </c>
      <c r="G42" s="4">
        <f>C42*$G$2</f>
        <v/>
      </c>
      <c r="H42" s="4">
        <f>D42*$H$2</f>
        <v/>
      </c>
      <c r="I42" s="4">
        <f>C42*$J$2</f>
        <v/>
      </c>
      <c r="J42" s="4">
        <f>D42*$K$2</f>
        <v/>
      </c>
      <c r="K42" s="4">
        <f>$B$2-G42</f>
        <v/>
      </c>
      <c r="L42" s="4">
        <f>$C$2+H42</f>
        <v/>
      </c>
      <c r="M42" s="4">
        <f>$B$2-I42</f>
        <v/>
      </c>
      <c r="N42" s="4">
        <f>$C$2+J42</f>
        <v/>
      </c>
    </row>
    <row r="43">
      <c r="A43" s="4" t="inlineStr">
        <is>
          <t>Apparel_Burka</t>
        </is>
      </c>
      <c r="B43" s="4" t="inlineStr">
        <is>
          <t>재료의존</t>
        </is>
      </c>
      <c r="C43" s="4" t="n">
        <v>0.1</v>
      </c>
      <c r="D43" s="4" t="n">
        <v>0.2</v>
      </c>
      <c r="E43" s="4" t="n">
        <v>0</v>
      </c>
      <c r="F43" s="4" t="n">
        <v>0</v>
      </c>
      <c r="G43" s="4">
        <f>C43*$G$2</f>
        <v/>
      </c>
      <c r="H43" s="4">
        <f>D43*$H$2</f>
        <v/>
      </c>
      <c r="I43" s="4">
        <f>C43*$J$2</f>
        <v/>
      </c>
      <c r="J43" s="4">
        <f>D43*$K$2</f>
        <v/>
      </c>
      <c r="K43" s="4">
        <f>$B$2-G43</f>
        <v/>
      </c>
      <c r="L43" s="4">
        <f>$C$2+H43</f>
        <v/>
      </c>
      <c r="M43" s="4">
        <f>$B$2-I43</f>
        <v/>
      </c>
      <c r="N43" s="4">
        <f>$C$2+J43</f>
        <v/>
      </c>
    </row>
    <row r="44">
      <c r="A44" s="4" t="inlineStr">
        <is>
          <t>Apparel_Blindfold</t>
        </is>
      </c>
      <c r="B44" s="4" t="inlineStr">
        <is>
          <t>재료의존</t>
        </is>
      </c>
      <c r="C44" s="4" t="n">
        <v>0.35</v>
      </c>
      <c r="D44" s="4" t="n">
        <v>0</v>
      </c>
      <c r="E44" s="4" t="n">
        <v>0</v>
      </c>
      <c r="F44" s="4" t="n">
        <v>0</v>
      </c>
      <c r="G44" s="4">
        <f>C44*$G$2</f>
        <v/>
      </c>
      <c r="H44" s="4">
        <f>D44*$H$2</f>
        <v/>
      </c>
      <c r="I44" s="4">
        <f>C44*$J$2</f>
        <v/>
      </c>
      <c r="J44" s="4">
        <f>D44*$K$2</f>
        <v/>
      </c>
      <c r="K44" s="4">
        <f>$B$2-G44</f>
        <v/>
      </c>
      <c r="L44" s="4">
        <f>$C$2+H44</f>
        <v/>
      </c>
      <c r="M44" s="4">
        <f>$B$2-I44</f>
        <v/>
      </c>
      <c r="N44" s="4">
        <f>$C$2+J44</f>
        <v/>
      </c>
    </row>
    <row r="45">
      <c r="A45" s="4" t="inlineStr">
        <is>
          <t>Apparel_Headwrap</t>
        </is>
      </c>
      <c r="B45" s="4" t="inlineStr">
        <is>
          <t>재료의존</t>
        </is>
      </c>
      <c r="C45" s="4" t="n">
        <v>0.1</v>
      </c>
      <c r="D45" s="4" t="n">
        <v>0.1</v>
      </c>
      <c r="E45" s="4" t="n">
        <v>0</v>
      </c>
      <c r="F45" s="4" t="n">
        <v>0</v>
      </c>
      <c r="G45" s="4">
        <f>C45*$G$2</f>
        <v/>
      </c>
      <c r="H45" s="4">
        <f>D45*$H$2</f>
        <v/>
      </c>
      <c r="I45" s="4">
        <f>C45*$J$2</f>
        <v/>
      </c>
      <c r="J45" s="4">
        <f>D45*$K$2</f>
        <v/>
      </c>
      <c r="K45" s="4">
        <f>$B$2-G45</f>
        <v/>
      </c>
      <c r="L45" s="4">
        <f>$C$2+H45</f>
        <v/>
      </c>
      <c r="M45" s="4">
        <f>$B$2-I45</f>
        <v/>
      </c>
      <c r="N45" s="4">
        <f>$C$2+J45</f>
        <v/>
      </c>
    </row>
    <row r="46">
      <c r="A46" s="4" t="inlineStr">
        <is>
          <t>Apparel_Broadwrap</t>
        </is>
      </c>
      <c r="B46" s="4" t="inlineStr">
        <is>
          <t>재료의존</t>
        </is>
      </c>
      <c r="C46" s="4" t="n">
        <v>0.2</v>
      </c>
      <c r="D46" s="4" t="n">
        <v>0.2</v>
      </c>
      <c r="E46" s="4" t="n">
        <v>0</v>
      </c>
      <c r="F46" s="4" t="n">
        <v>0</v>
      </c>
      <c r="G46" s="4">
        <f>C46*$G$2</f>
        <v/>
      </c>
      <c r="H46" s="4">
        <f>D46*$H$2</f>
        <v/>
      </c>
      <c r="I46" s="4">
        <f>C46*$J$2</f>
        <v/>
      </c>
      <c r="J46" s="4">
        <f>D46*$K$2</f>
        <v/>
      </c>
      <c r="K46" s="4">
        <f>$B$2-G46</f>
        <v/>
      </c>
      <c r="L46" s="4">
        <f>$C$2+H46</f>
        <v/>
      </c>
      <c r="M46" s="4">
        <f>$B$2-I46</f>
        <v/>
      </c>
      <c r="N46" s="4">
        <f>$C$2+J46</f>
        <v/>
      </c>
    </row>
    <row r="47">
      <c r="A47" s="4" t="inlineStr">
        <is>
          <t>Apparel_VisageMask</t>
        </is>
      </c>
      <c r="B47" s="4" t="inlineStr">
        <is>
          <t>재료의존</t>
        </is>
      </c>
      <c r="C47" s="4" t="n">
        <v>0.05</v>
      </c>
      <c r="D47" s="4" t="n">
        <v>0.05</v>
      </c>
      <c r="E47" s="4" t="n">
        <v>0</v>
      </c>
      <c r="F47" s="4" t="n">
        <v>0</v>
      </c>
      <c r="G47" s="4">
        <f>C47*$G$2</f>
        <v/>
      </c>
      <c r="H47" s="4">
        <f>D47*$H$2</f>
        <v/>
      </c>
      <c r="I47" s="4">
        <f>C47*$J$2</f>
        <v/>
      </c>
      <c r="J47" s="4">
        <f>D47*$K$2</f>
        <v/>
      </c>
      <c r="K47" s="4">
        <f>$B$2-G47</f>
        <v/>
      </c>
      <c r="L47" s="4">
        <f>$C$2+H47</f>
        <v/>
      </c>
      <c r="M47" s="4">
        <f>$B$2-I47</f>
        <v/>
      </c>
      <c r="N47" s="4">
        <f>$C$2+J47</f>
        <v/>
      </c>
    </row>
    <row r="48">
      <c r="A48" s="4" t="inlineStr">
        <is>
          <t>Apparel_Slicecap</t>
        </is>
      </c>
      <c r="B48" s="4" t="inlineStr">
        <is>
          <t>재료의존</t>
        </is>
      </c>
      <c r="C48" s="4" t="n">
        <v>0</v>
      </c>
      <c r="D48" s="4" t="n">
        <v>0.1</v>
      </c>
      <c r="E48" s="4" t="n">
        <v>0</v>
      </c>
      <c r="F48" s="4" t="n">
        <v>0</v>
      </c>
      <c r="G48" s="4">
        <f>C48*$G$2</f>
        <v/>
      </c>
      <c r="H48" s="4">
        <f>D48*$H$2</f>
        <v/>
      </c>
      <c r="I48" s="4">
        <f>C48*$J$2</f>
        <v/>
      </c>
      <c r="J48" s="4">
        <f>D48*$K$2</f>
        <v/>
      </c>
      <c r="K48" s="4">
        <f>$B$2-G48</f>
        <v/>
      </c>
      <c r="L48" s="4">
        <f>$C$2+H48</f>
        <v/>
      </c>
      <c r="M48" s="4">
        <f>$B$2-I48</f>
        <v/>
      </c>
      <c r="N48" s="4">
        <f>$C$2+J48</f>
        <v/>
      </c>
    </row>
    <row r="49">
      <c r="A49" s="4" t="inlineStr">
        <is>
          <t>Apparel_AuthorityCap</t>
        </is>
      </c>
      <c r="B49" s="4" t="inlineStr">
        <is>
          <t>재료의존</t>
        </is>
      </c>
      <c r="C49" s="4" t="n">
        <v>0.1</v>
      </c>
      <c r="D49" s="4" t="n">
        <v>0.1</v>
      </c>
      <c r="E49" s="4" t="n">
        <v>0</v>
      </c>
      <c r="F49" s="4" t="n">
        <v>0</v>
      </c>
      <c r="G49" s="4">
        <f>C49*$G$2</f>
        <v/>
      </c>
      <c r="H49" s="4">
        <f>D49*$H$2</f>
        <v/>
      </c>
      <c r="I49" s="4">
        <f>C49*$J$2</f>
        <v/>
      </c>
      <c r="J49" s="4">
        <f>D49*$K$2</f>
        <v/>
      </c>
      <c r="K49" s="4">
        <f>$B$2-G49</f>
        <v/>
      </c>
      <c r="L49" s="4">
        <f>$C$2+H49</f>
        <v/>
      </c>
      <c r="M49" s="4">
        <f>$B$2-I49</f>
        <v/>
      </c>
      <c r="N49" s="4">
        <f>$C$2+J49</f>
        <v/>
      </c>
    </row>
    <row r="50">
      <c r="A50" s="4" t="inlineStr">
        <is>
          <t>Apparel_Tailcap</t>
        </is>
      </c>
      <c r="B50" s="4" t="inlineStr">
        <is>
          <t>재료의존</t>
        </is>
      </c>
      <c r="C50" s="4" t="n">
        <v>0.5</v>
      </c>
      <c r="D50" s="4" t="n">
        <v>0</v>
      </c>
      <c r="E50" s="4" t="n">
        <v>0</v>
      </c>
      <c r="F50" s="4" t="n">
        <v>0</v>
      </c>
      <c r="G50" s="4">
        <f>C50*$G$2</f>
        <v/>
      </c>
      <c r="H50" s="4">
        <f>D50*$H$2</f>
        <v/>
      </c>
      <c r="I50" s="4">
        <f>C50*$J$2</f>
        <v/>
      </c>
      <c r="J50" s="4">
        <f>D50*$K$2</f>
        <v/>
      </c>
      <c r="K50" s="4">
        <f>$B$2-G50</f>
        <v/>
      </c>
      <c r="L50" s="4">
        <f>$C$2+H50</f>
        <v/>
      </c>
      <c r="M50" s="4">
        <f>$B$2-I50</f>
        <v/>
      </c>
      <c r="N50" s="4">
        <f>$C$2+J50</f>
        <v/>
      </c>
    </row>
    <row r="51">
      <c r="A51" s="4" t="inlineStr">
        <is>
          <t>Apparel_Shadecone</t>
        </is>
      </c>
      <c r="B51" s="4" t="inlineStr">
        <is>
          <t>재료의존</t>
        </is>
      </c>
      <c r="C51" s="4" t="n">
        <v>0.1</v>
      </c>
      <c r="D51" s="4" t="n">
        <v>0.5</v>
      </c>
      <c r="E51" s="4" t="n">
        <v>0</v>
      </c>
      <c r="F51" s="4" t="n">
        <v>0</v>
      </c>
      <c r="G51" s="4">
        <f>C51*$G$2</f>
        <v/>
      </c>
      <c r="H51" s="4">
        <f>D51*$H$2</f>
        <v/>
      </c>
      <c r="I51" s="4">
        <f>C51*$J$2</f>
        <v/>
      </c>
      <c r="J51" s="4">
        <f>D51*$K$2</f>
        <v/>
      </c>
      <c r="K51" s="4">
        <f>$B$2-G51</f>
        <v/>
      </c>
      <c r="L51" s="4">
        <f>$C$2+H51</f>
        <v/>
      </c>
      <c r="M51" s="4">
        <f>$B$2-I51</f>
        <v/>
      </c>
      <c r="N51" s="4">
        <f>$C$2+J51</f>
        <v/>
      </c>
    </row>
    <row r="52">
      <c r="A52" s="4" t="inlineStr">
        <is>
          <t>Apparel_Flophat</t>
        </is>
      </c>
      <c r="B52" s="4" t="inlineStr">
        <is>
          <t>재료의존</t>
        </is>
      </c>
      <c r="C52" s="4" t="n">
        <v>0.5</v>
      </c>
      <c r="D52" s="4" t="n">
        <v>0</v>
      </c>
      <c r="E52" s="4" t="n">
        <v>0</v>
      </c>
      <c r="F52" s="4" t="n">
        <v>0</v>
      </c>
      <c r="G52" s="4">
        <f>C52*$G$2</f>
        <v/>
      </c>
      <c r="H52" s="4">
        <f>D52*$H$2</f>
        <v/>
      </c>
      <c r="I52" s="4">
        <f>C52*$J$2</f>
        <v/>
      </c>
      <c r="J52" s="4">
        <f>D52*$K$2</f>
        <v/>
      </c>
      <c r="K52" s="4">
        <f>$B$2-G52</f>
        <v/>
      </c>
      <c r="L52" s="4">
        <f>$C$2+H52</f>
        <v/>
      </c>
      <c r="M52" s="4">
        <f>$B$2-I52</f>
        <v/>
      </c>
      <c r="N52" s="4">
        <f>$C$2+J52</f>
        <v/>
      </c>
    </row>
    <row r="53">
      <c r="A53" s="4" t="inlineStr">
        <is>
          <t>Apparel_LabCoat</t>
        </is>
      </c>
      <c r="B53" s="4" t="inlineStr">
        <is>
          <t>재료의존</t>
        </is>
      </c>
      <c r="C53" s="4" t="n">
        <v>0.5</v>
      </c>
      <c r="D53" s="4" t="n">
        <v>0.6</v>
      </c>
      <c r="E53" s="4" t="n">
        <v>0</v>
      </c>
      <c r="F53" s="4" t="n">
        <v>0</v>
      </c>
      <c r="G53" s="4">
        <f>C53*$G$2</f>
        <v/>
      </c>
      <c r="H53" s="4">
        <f>D53*$H$2</f>
        <v/>
      </c>
      <c r="I53" s="4">
        <f>C53*$J$2</f>
        <v/>
      </c>
      <c r="J53" s="4">
        <f>D53*$K$2</f>
        <v/>
      </c>
      <c r="K53" s="4">
        <f>$B$2-G53</f>
        <v/>
      </c>
      <c r="L53" s="4">
        <f>$C$2+H53</f>
        <v/>
      </c>
      <c r="M53" s="4">
        <f>$B$2-I53</f>
        <v/>
      </c>
      <c r="N53" s="4">
        <f>$C$2+J53</f>
        <v/>
      </c>
    </row>
    <row r="56">
      <c r="A56" s="5" t="inlineStr">
        <is>
          <t>차트 (defName별 착용 온도 범위)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2026-03-04T06:05:26Z</dcterms:created>
  <dcterms:modified xsi:type="dcterms:W3CDTF">2026-03-04T06:05:27Z</dcterms:modified>
</cp:coreProperties>
</file>