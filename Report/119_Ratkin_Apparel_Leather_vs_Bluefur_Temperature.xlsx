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재별 온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의상별 소재 착용 온도 (°C) - 랫킨 쾌적온도·소재A/B StuffPower 입력 시 자동 갱신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'소재별 온도'!K6</f>
            </strRef>
          </tx>
          <spPr>
            <a:ln>
              <a:prstDash val="solid"/>
            </a:ln>
          </spPr>
          <cat>
            <numRef>
              <f>'소재별 온도'!$A$7:$A$33</f>
            </numRef>
          </cat>
          <val>
            <numRef>
              <f>'소재별 온도'!$K$7:$K$33</f>
            </numRef>
          </val>
        </ser>
        <ser>
          <idx val="1"/>
          <order val="1"/>
          <tx>
            <strRef>
              <f>'소재별 온도'!L6</f>
            </strRef>
          </tx>
          <spPr>
            <a:ln>
              <a:prstDash val="solid"/>
            </a:ln>
          </spPr>
          <cat>
            <numRef>
              <f>'소재별 온도'!$A$7:$A$33</f>
            </numRef>
          </cat>
          <val>
            <numRef>
              <f>'소재별 온도'!$L$7:$L$33</f>
            </numRef>
          </val>
        </ser>
        <ser>
          <idx val="2"/>
          <order val="2"/>
          <tx>
            <strRef>
              <f>'소재별 온도'!M6</f>
            </strRef>
          </tx>
          <spPr>
            <a:ln>
              <a:prstDash val="solid"/>
            </a:ln>
          </spPr>
          <cat>
            <numRef>
              <f>'소재별 온도'!$A$7:$A$33</f>
            </numRef>
          </cat>
          <val>
            <numRef>
              <f>'소재별 온도'!$M$7:$M$33</f>
            </numRef>
          </val>
        </ser>
        <ser>
          <idx val="3"/>
          <order val="3"/>
          <tx>
            <strRef>
              <f>'소재별 온도'!N6</f>
            </strRef>
          </tx>
          <spPr>
            <a:ln>
              <a:prstDash val="solid"/>
            </a:ln>
          </spPr>
          <cat>
            <numRef>
              <f>'소재별 온도'!$A$7:$A$33</f>
            </numRef>
          </cat>
          <val>
            <numRef>
              <f>'소재별 온도'!$N$7:$N$33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온도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defName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792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랫킨 쾌적 온도</t>
        </is>
      </c>
      <c r="B1" s="2" t="inlineStr">
        <is>
          <t>Cold</t>
        </is>
      </c>
      <c r="C1" s="2" t="inlineStr">
        <is>
          <t>Heat</t>
        </is>
      </c>
      <c r="F1" t="inlineStr">
        <is>
          <t>소재A</t>
        </is>
      </c>
      <c r="G1" s="2" t="inlineStr">
        <is>
          <t>Cold</t>
        </is>
      </c>
      <c r="H1" s="2" t="inlineStr">
        <is>
          <t>Heat</t>
        </is>
      </c>
      <c r="I1" t="inlineStr">
        <is>
          <t>소재B</t>
        </is>
      </c>
      <c r="J1" s="2" t="inlineStr">
        <is>
          <t>Cold</t>
        </is>
      </c>
      <c r="K1" s="2" t="inlineStr">
        <is>
          <t>Heat</t>
        </is>
      </c>
    </row>
    <row r="2">
      <c r="A2" t="inlineStr">
        <is>
          <t>(입력값 변경 시 차트 자동 갱신)</t>
        </is>
      </c>
      <c r="B2" t="n">
        <v>21</v>
      </c>
      <c r="C2" t="n">
        <v>26</v>
      </c>
      <c r="F2" t="inlineStr">
        <is>
          <t>가죽</t>
        </is>
      </c>
      <c r="G2" t="n">
        <v>16</v>
      </c>
      <c r="H2" t="n">
        <v>16</v>
      </c>
      <c r="I2" t="inlineStr">
        <is>
          <t>머플로</t>
        </is>
      </c>
      <c r="J2" t="n">
        <v>20</v>
      </c>
      <c r="K2" t="n">
        <v>16</v>
      </c>
    </row>
    <row r="6">
      <c r="A6" s="3" t="inlineStr">
        <is>
          <t>defName</t>
        </is>
      </c>
      <c r="B6" s="3" t="inlineStr">
        <is>
          <t>유형</t>
        </is>
      </c>
      <c r="C6" s="3" t="inlineStr">
        <is>
          <t>Cold배수</t>
        </is>
      </c>
      <c r="D6" s="3" t="inlineStr">
        <is>
          <t>Heat배수</t>
        </is>
      </c>
      <c r="E6" s="3" t="inlineStr">
        <is>
          <t>고정Cold</t>
        </is>
      </c>
      <c r="F6" s="3" t="inlineStr">
        <is>
          <t>고정Heat</t>
        </is>
      </c>
      <c r="G6" s="3" t="inlineStr">
        <is>
          <t>소재A Ins_Cold</t>
        </is>
      </c>
      <c r="H6" s="3" t="inlineStr">
        <is>
          <t>소재A Ins_Heat</t>
        </is>
      </c>
      <c r="I6" s="3" t="inlineStr">
        <is>
          <t>소재B Ins_Cold</t>
        </is>
      </c>
      <c r="J6" s="3" t="inlineStr">
        <is>
          <t>소재B Ins_Heat</t>
        </is>
      </c>
      <c r="K6" s="3" t="inlineStr">
        <is>
          <t>소재A Min°C</t>
        </is>
      </c>
      <c r="L6" s="3" t="inlineStr">
        <is>
          <t>소재A Max°C</t>
        </is>
      </c>
      <c r="M6" s="3" t="inlineStr">
        <is>
          <t>소재B Min°C</t>
        </is>
      </c>
      <c r="N6" s="3" t="inlineStr">
        <is>
          <t>소재B Max°C</t>
        </is>
      </c>
    </row>
    <row r="7">
      <c r="A7" s="4" t="inlineStr">
        <is>
          <t>RK_ApronSkirt</t>
        </is>
      </c>
      <c r="B7" s="4" t="inlineStr">
        <is>
          <t>재료의존</t>
        </is>
      </c>
      <c r="C7" s="4" t="n">
        <v>0.2</v>
      </c>
      <c r="D7" s="4" t="n">
        <v>0.1</v>
      </c>
      <c r="E7" s="4" t="n">
        <v>0</v>
      </c>
      <c r="F7" s="4" t="n">
        <v>0</v>
      </c>
      <c r="G7" s="4">
        <f>C7*$G$2</f>
        <v/>
      </c>
      <c r="H7" s="4">
        <f>D7*$H$2</f>
        <v/>
      </c>
      <c r="I7" s="4">
        <f>C7*$J$2</f>
        <v/>
      </c>
      <c r="J7" s="4">
        <f>D7*$K$2</f>
        <v/>
      </c>
      <c r="K7" s="4">
        <f>$B$2-G7</f>
        <v/>
      </c>
      <c r="L7" s="4">
        <f>$C$2+H7</f>
        <v/>
      </c>
      <c r="M7" s="4">
        <f>$B$2-I7</f>
        <v/>
      </c>
      <c r="N7" s="4">
        <f>$C$2+J7</f>
        <v/>
      </c>
    </row>
    <row r="8">
      <c r="A8" s="4" t="inlineStr">
        <is>
          <t>RK_ApronSkirtChildren</t>
        </is>
      </c>
      <c r="B8" s="4" t="inlineStr">
        <is>
          <t>재료의존</t>
        </is>
      </c>
      <c r="C8" s="4" t="n">
        <v>0.2</v>
      </c>
      <c r="D8" s="4" t="n">
        <v>0.1</v>
      </c>
      <c r="E8" s="4" t="n">
        <v>0</v>
      </c>
      <c r="F8" s="4" t="n">
        <v>0</v>
      </c>
      <c r="G8" s="4">
        <f>C8*$G$2</f>
        <v/>
      </c>
      <c r="H8" s="4">
        <f>D8*$H$2</f>
        <v/>
      </c>
      <c r="I8" s="4">
        <f>C8*$J$2</f>
        <v/>
      </c>
      <c r="J8" s="4">
        <f>D8*$K$2</f>
        <v/>
      </c>
      <c r="K8" s="4">
        <f>$B$2-G8</f>
        <v/>
      </c>
      <c r="L8" s="4">
        <f>$C$2+H8</f>
        <v/>
      </c>
      <c r="M8" s="4">
        <f>$B$2-I8</f>
        <v/>
      </c>
      <c r="N8" s="4">
        <f>$C$2+J8</f>
        <v/>
      </c>
    </row>
    <row r="9">
      <c r="A9" s="4" t="inlineStr">
        <is>
          <t>RK_SummerDress</t>
        </is>
      </c>
      <c r="B9" s="4" t="inlineStr">
        <is>
          <t>재료의존</t>
        </is>
      </c>
      <c r="C9" s="4" t="n">
        <v>0.1</v>
      </c>
      <c r="D9" s="4" t="n">
        <v>0.7</v>
      </c>
      <c r="E9" s="4" t="n">
        <v>0</v>
      </c>
      <c r="F9" s="4" t="n">
        <v>0</v>
      </c>
      <c r="G9" s="4">
        <f>C9*$G$2</f>
        <v/>
      </c>
      <c r="H9" s="4">
        <f>D9*$H$2</f>
        <v/>
      </c>
      <c r="I9" s="4">
        <f>C9*$J$2</f>
        <v/>
      </c>
      <c r="J9" s="4">
        <f>D9*$K$2</f>
        <v/>
      </c>
      <c r="K9" s="4">
        <f>$B$2-G9</f>
        <v/>
      </c>
      <c r="L9" s="4">
        <f>$C$2+H9</f>
        <v/>
      </c>
      <c r="M9" s="4">
        <f>$B$2-I9</f>
        <v/>
      </c>
      <c r="N9" s="4">
        <f>$C$2+J9</f>
        <v/>
      </c>
    </row>
    <row r="10">
      <c r="A10" s="4" t="inlineStr">
        <is>
          <t>RK_Muffler</t>
        </is>
      </c>
      <c r="B10" s="4" t="inlineStr">
        <is>
          <t>재료의존</t>
        </is>
      </c>
      <c r="C10" s="4" t="n">
        <v>0.65</v>
      </c>
      <c r="D10" s="4" t="n">
        <v>0.25</v>
      </c>
      <c r="E10" s="4" t="n">
        <v>0</v>
      </c>
      <c r="F10" s="4" t="n">
        <v>0</v>
      </c>
      <c r="G10" s="4">
        <f>C10*$G$2</f>
        <v/>
      </c>
      <c r="H10" s="4">
        <f>D10*$H$2</f>
        <v/>
      </c>
      <c r="I10" s="4">
        <f>C10*$J$2</f>
        <v/>
      </c>
      <c r="J10" s="4">
        <f>D10*$K$2</f>
        <v/>
      </c>
      <c r="K10" s="4">
        <f>$B$2-G10</f>
        <v/>
      </c>
      <c r="L10" s="4">
        <f>$C$2+H10</f>
        <v/>
      </c>
      <c r="M10" s="4">
        <f>$B$2-I10</f>
        <v/>
      </c>
      <c r="N10" s="4">
        <f>$C$2+J10</f>
        <v/>
      </c>
    </row>
    <row r="11">
      <c r="A11" s="4" t="inlineStr">
        <is>
          <t>RK_WoolenHat</t>
        </is>
      </c>
      <c r="B11" s="4" t="inlineStr">
        <is>
          <t>재료의존</t>
        </is>
      </c>
      <c r="C11" s="4" t="n">
        <v>0.5</v>
      </c>
      <c r="D11" s="4" t="n">
        <v>0</v>
      </c>
      <c r="E11" s="4" t="n">
        <v>0</v>
      </c>
      <c r="F11" s="4" t="n">
        <v>0</v>
      </c>
      <c r="G11" s="4">
        <f>C11*$G$2</f>
        <v/>
      </c>
      <c r="H11" s="4">
        <f>D11*$H$2</f>
        <v/>
      </c>
      <c r="I11" s="4">
        <f>C11*$J$2</f>
        <v/>
      </c>
      <c r="J11" s="4">
        <f>D11*$K$2</f>
        <v/>
      </c>
      <c r="K11" s="4">
        <f>$B$2-G11</f>
        <v/>
      </c>
      <c r="L11" s="4">
        <f>$C$2+H11</f>
        <v/>
      </c>
      <c r="M11" s="4">
        <f>$B$2-I11</f>
        <v/>
      </c>
      <c r="N11" s="4">
        <f>$C$2+J11</f>
        <v/>
      </c>
    </row>
    <row r="12">
      <c r="A12" s="4" t="inlineStr">
        <is>
          <t>RK_WorkerWear</t>
        </is>
      </c>
      <c r="B12" s="4" t="inlineStr">
        <is>
          <t>재료의존</t>
        </is>
      </c>
      <c r="C12" s="4" t="n">
        <v>0.3</v>
      </c>
      <c r="D12" s="4" t="n">
        <v>0.2</v>
      </c>
      <c r="E12" s="4" t="n">
        <v>0</v>
      </c>
      <c r="F12" s="4" t="n">
        <v>0</v>
      </c>
      <c r="G12" s="4">
        <f>C12*$G$2</f>
        <v/>
      </c>
      <c r="H12" s="4">
        <f>D12*$H$2</f>
        <v/>
      </c>
      <c r="I12" s="4">
        <f>C12*$J$2</f>
        <v/>
      </c>
      <c r="J12" s="4">
        <f>D12*$K$2</f>
        <v/>
      </c>
      <c r="K12" s="4">
        <f>$B$2-G12</f>
        <v/>
      </c>
      <c r="L12" s="4">
        <f>$C$2+H12</f>
        <v/>
      </c>
      <c r="M12" s="4">
        <f>$B$2-I12</f>
        <v/>
      </c>
      <c r="N12" s="4">
        <f>$C$2+J12</f>
        <v/>
      </c>
    </row>
    <row r="13">
      <c r="A13" s="4" t="inlineStr">
        <is>
          <t>RK_Coif</t>
        </is>
      </c>
      <c r="B13" s="4" t="inlineStr">
        <is>
          <t>재료의존</t>
        </is>
      </c>
      <c r="C13" s="4" t="n">
        <v>0.15</v>
      </c>
      <c r="D13" s="4" t="n">
        <v>0.1</v>
      </c>
      <c r="E13" s="4" t="n">
        <v>0</v>
      </c>
      <c r="F13" s="4" t="n">
        <v>0</v>
      </c>
      <c r="G13" s="4">
        <f>C13*$G$2</f>
        <v/>
      </c>
      <c r="H13" s="4">
        <f>D13*$H$2</f>
        <v/>
      </c>
      <c r="I13" s="4">
        <f>C13*$J$2</f>
        <v/>
      </c>
      <c r="J13" s="4">
        <f>D13*$K$2</f>
        <v/>
      </c>
      <c r="K13" s="4">
        <f>$B$2-G13</f>
        <v/>
      </c>
      <c r="L13" s="4">
        <f>$C$2+H13</f>
        <v/>
      </c>
      <c r="M13" s="4">
        <f>$B$2-I13</f>
        <v/>
      </c>
      <c r="N13" s="4">
        <f>$C$2+J13</f>
        <v/>
      </c>
    </row>
    <row r="14">
      <c r="A14" s="4" t="inlineStr">
        <is>
          <t>RK_ResearchGown</t>
        </is>
      </c>
      <c r="B14" s="4" t="inlineStr">
        <is>
          <t>재료의존</t>
        </is>
      </c>
      <c r="C14" s="4" t="n">
        <v>0.3</v>
      </c>
      <c r="D14" s="4" t="n">
        <v>0.15</v>
      </c>
      <c r="E14" s="4" t="n">
        <v>0</v>
      </c>
      <c r="F14" s="4" t="n">
        <v>0</v>
      </c>
      <c r="G14" s="4">
        <f>C14*$G$2</f>
        <v/>
      </c>
      <c r="H14" s="4">
        <f>D14*$H$2</f>
        <v/>
      </c>
      <c r="I14" s="4">
        <f>C14*$J$2</f>
        <v/>
      </c>
      <c r="J14" s="4">
        <f>D14*$K$2</f>
        <v/>
      </c>
      <c r="K14" s="4">
        <f>$B$2-G14</f>
        <v/>
      </c>
      <c r="L14" s="4">
        <f>$C$2+H14</f>
        <v/>
      </c>
      <c r="M14" s="4">
        <f>$B$2-I14</f>
        <v/>
      </c>
      <c r="N14" s="4">
        <f>$C$2+J14</f>
        <v/>
      </c>
    </row>
    <row r="15">
      <c r="A15" s="4" t="inlineStr">
        <is>
          <t>RK_ExplorerWear</t>
        </is>
      </c>
      <c r="B15" s="4" t="inlineStr">
        <is>
          <t>재료의존</t>
        </is>
      </c>
      <c r="C15" s="4" t="n">
        <v>0.2</v>
      </c>
      <c r="D15" s="4" t="n">
        <v>0.4</v>
      </c>
      <c r="E15" s="4" t="n">
        <v>0</v>
      </c>
      <c r="F15" s="4" t="n">
        <v>0</v>
      </c>
      <c r="G15" s="4">
        <f>C15*$G$2</f>
        <v/>
      </c>
      <c r="H15" s="4">
        <f>D15*$H$2</f>
        <v/>
      </c>
      <c r="I15" s="4">
        <f>C15*$J$2</f>
        <v/>
      </c>
      <c r="J15" s="4">
        <f>D15*$K$2</f>
        <v/>
      </c>
      <c r="K15" s="4">
        <f>$B$2-G15</f>
        <v/>
      </c>
      <c r="L15" s="4">
        <f>$C$2+H15</f>
        <v/>
      </c>
      <c r="M15" s="4">
        <f>$B$2-I15</f>
        <v/>
      </c>
      <c r="N15" s="4">
        <f>$C$2+J15</f>
        <v/>
      </c>
    </row>
    <row r="16">
      <c r="A16" s="4" t="inlineStr">
        <is>
          <t>RK_ExplorerHat</t>
        </is>
      </c>
      <c r="B16" s="4" t="inlineStr">
        <is>
          <t>재료의존</t>
        </is>
      </c>
      <c r="C16" s="4" t="n">
        <v>0.15</v>
      </c>
      <c r="D16" s="4" t="n">
        <v>0.25</v>
      </c>
      <c r="E16" s="4" t="n">
        <v>0</v>
      </c>
      <c r="F16" s="4" t="n">
        <v>0</v>
      </c>
      <c r="G16" s="4">
        <f>C16*$G$2</f>
        <v/>
      </c>
      <c r="H16" s="4">
        <f>D16*$H$2</f>
        <v/>
      </c>
      <c r="I16" s="4">
        <f>C16*$J$2</f>
        <v/>
      </c>
      <c r="J16" s="4">
        <f>D16*$K$2</f>
        <v/>
      </c>
      <c r="K16" s="4">
        <f>$B$2-G16</f>
        <v/>
      </c>
      <c r="L16" s="4">
        <f>$C$2+H16</f>
        <v/>
      </c>
      <c r="M16" s="4">
        <f>$B$2-I16</f>
        <v/>
      </c>
      <c r="N16" s="4">
        <f>$C$2+J16</f>
        <v/>
      </c>
    </row>
    <row r="17">
      <c r="A17" s="4" t="inlineStr">
        <is>
          <t>RK_ChefSuit</t>
        </is>
      </c>
      <c r="B17" s="4" t="inlineStr">
        <is>
          <t>재료의존</t>
        </is>
      </c>
      <c r="C17" s="4" t="n">
        <v>0.25</v>
      </c>
      <c r="D17" s="4" t="n">
        <v>0.25</v>
      </c>
      <c r="E17" s="4" t="n">
        <v>0</v>
      </c>
      <c r="F17" s="4" t="n">
        <v>0</v>
      </c>
      <c r="G17" s="4">
        <f>C17*$G$2</f>
        <v/>
      </c>
      <c r="H17" s="4">
        <f>D17*$H$2</f>
        <v/>
      </c>
      <c r="I17" s="4">
        <f>C17*$J$2</f>
        <v/>
      </c>
      <c r="J17" s="4">
        <f>D17*$K$2</f>
        <v/>
      </c>
      <c r="K17" s="4">
        <f>$B$2-G17</f>
        <v/>
      </c>
      <c r="L17" s="4">
        <f>$C$2+H17</f>
        <v/>
      </c>
      <c r="M17" s="4">
        <f>$B$2-I17</f>
        <v/>
      </c>
      <c r="N17" s="4">
        <f>$C$2+J17</f>
        <v/>
      </c>
    </row>
    <row r="18">
      <c r="A18" s="4" t="inlineStr">
        <is>
          <t>RK_ChefHat</t>
        </is>
      </c>
      <c r="B18" s="4" t="inlineStr">
        <is>
          <t>재료의존</t>
        </is>
      </c>
      <c r="C18" s="4" t="n">
        <v>0.15</v>
      </c>
      <c r="D18" s="4" t="n">
        <v>0.15</v>
      </c>
      <c r="E18" s="4" t="n">
        <v>0</v>
      </c>
      <c r="F18" s="4" t="n">
        <v>0</v>
      </c>
      <c r="G18" s="4">
        <f>C18*$G$2</f>
        <v/>
      </c>
      <c r="H18" s="4">
        <f>D18*$H$2</f>
        <v/>
      </c>
      <c r="I18" s="4">
        <f>C18*$J$2</f>
        <v/>
      </c>
      <c r="J18" s="4">
        <f>D18*$K$2</f>
        <v/>
      </c>
      <c r="K18" s="4">
        <f>$B$2-G18</f>
        <v/>
      </c>
      <c r="L18" s="4">
        <f>$C$2+H18</f>
        <v/>
      </c>
      <c r="M18" s="4">
        <f>$B$2-I18</f>
        <v/>
      </c>
      <c r="N18" s="4">
        <f>$C$2+J18</f>
        <v/>
      </c>
    </row>
    <row r="19">
      <c r="A19" s="4" t="inlineStr">
        <is>
          <t>RK_GaurdenUniform</t>
        </is>
      </c>
      <c r="B19" s="4" t="inlineStr">
        <is>
          <t>재료의존</t>
        </is>
      </c>
      <c r="C19" s="4" t="n">
        <v>0.4</v>
      </c>
      <c r="D19" s="4" t="n">
        <v>0.25</v>
      </c>
      <c r="E19" s="4" t="n">
        <v>0</v>
      </c>
      <c r="F19" s="4" t="n">
        <v>0</v>
      </c>
      <c r="G19" s="4">
        <f>C19*$G$2</f>
        <v/>
      </c>
      <c r="H19" s="4">
        <f>D19*$H$2</f>
        <v/>
      </c>
      <c r="I19" s="4">
        <f>C19*$J$2</f>
        <v/>
      </c>
      <c r="J19" s="4">
        <f>D19*$K$2</f>
        <v/>
      </c>
      <c r="K19" s="4">
        <f>$B$2-G19</f>
        <v/>
      </c>
      <c r="L19" s="4">
        <f>$C$2+H19</f>
        <v/>
      </c>
      <c r="M19" s="4">
        <f>$B$2-I19</f>
        <v/>
      </c>
      <c r="N19" s="4">
        <f>$C$2+J19</f>
        <v/>
      </c>
    </row>
    <row r="20">
      <c r="A20" s="4" t="inlineStr">
        <is>
          <t>RK_OrderUniform</t>
        </is>
      </c>
      <c r="B20" s="4" t="inlineStr">
        <is>
          <t>재료의존</t>
        </is>
      </c>
      <c r="C20" s="4" t="n">
        <v>0.4</v>
      </c>
      <c r="D20" s="4" t="n">
        <v>0.4</v>
      </c>
      <c r="E20" s="4" t="n">
        <v>0</v>
      </c>
      <c r="F20" s="4" t="n">
        <v>0</v>
      </c>
      <c r="G20" s="4">
        <f>C20*$G$2</f>
        <v/>
      </c>
      <c r="H20" s="4">
        <f>D20*$H$2</f>
        <v/>
      </c>
      <c r="I20" s="4">
        <f>C20*$J$2</f>
        <v/>
      </c>
      <c r="J20" s="4">
        <f>D20*$K$2</f>
        <v/>
      </c>
      <c r="K20" s="4">
        <f>$B$2-G20</f>
        <v/>
      </c>
      <c r="L20" s="4">
        <f>$C$2+H20</f>
        <v/>
      </c>
      <c r="M20" s="4">
        <f>$B$2-I20</f>
        <v/>
      </c>
      <c r="N20" s="4">
        <f>$C$2+J20</f>
        <v/>
      </c>
    </row>
    <row r="21">
      <c r="A21" s="4" t="inlineStr">
        <is>
          <t>RK_BulletProofHelmet</t>
        </is>
      </c>
      <c r="B21" s="4" t="inlineStr">
        <is>
          <t>재료의존</t>
        </is>
      </c>
      <c r="C21" s="4" t="n">
        <v>0.25</v>
      </c>
      <c r="D21" s="4" t="n">
        <v>0.15</v>
      </c>
      <c r="E21" s="4" t="n">
        <v>0</v>
      </c>
      <c r="F21" s="4" t="n">
        <v>0</v>
      </c>
      <c r="G21" s="4">
        <f>C21*$G$2</f>
        <v/>
      </c>
      <c r="H21" s="4">
        <f>D21*$H$2</f>
        <v/>
      </c>
      <c r="I21" s="4">
        <f>C21*$J$2</f>
        <v/>
      </c>
      <c r="J21" s="4">
        <f>D21*$K$2</f>
        <v/>
      </c>
      <c r="K21" s="4">
        <f>$B$2-G21</f>
        <v/>
      </c>
      <c r="L21" s="4">
        <f>$C$2+H21</f>
        <v/>
      </c>
      <c r="M21" s="4">
        <f>$B$2-I21</f>
        <v/>
      </c>
      <c r="N21" s="4">
        <f>$C$2+J21</f>
        <v/>
      </c>
    </row>
    <row r="22">
      <c r="A22" s="4" t="inlineStr">
        <is>
          <t>RK_FlatColorCoat</t>
        </is>
      </c>
      <c r="B22" s="4" t="inlineStr">
        <is>
          <t>재료의존</t>
        </is>
      </c>
      <c r="C22" s="4" t="n">
        <v>0.4</v>
      </c>
      <c r="D22" s="4" t="n">
        <v>0.35</v>
      </c>
      <c r="E22" s="4" t="n">
        <v>0</v>
      </c>
      <c r="F22" s="4" t="n">
        <v>0</v>
      </c>
      <c r="G22" s="4">
        <f>C22*$G$2</f>
        <v/>
      </c>
      <c r="H22" s="4">
        <f>D22*$H$2</f>
        <v/>
      </c>
      <c r="I22" s="4">
        <f>C22*$J$2</f>
        <v/>
      </c>
      <c r="J22" s="4">
        <f>D22*$K$2</f>
        <v/>
      </c>
      <c r="K22" s="4">
        <f>$B$2-G22</f>
        <v/>
      </c>
      <c r="L22" s="4">
        <f>$C$2+H22</f>
        <v/>
      </c>
      <c r="M22" s="4">
        <f>$B$2-I22</f>
        <v/>
      </c>
      <c r="N22" s="4">
        <f>$C$2+J22</f>
        <v/>
      </c>
    </row>
    <row r="23">
      <c r="A23" s="4" t="inlineStr">
        <is>
          <t>RK_FrillOnepiece</t>
        </is>
      </c>
      <c r="B23" s="4" t="inlineStr">
        <is>
          <t>재료의존</t>
        </is>
      </c>
      <c r="C23" s="4" t="n">
        <v>0.35</v>
      </c>
      <c r="D23" s="4" t="n">
        <v>0.4</v>
      </c>
      <c r="E23" s="4" t="n">
        <v>0</v>
      </c>
      <c r="F23" s="4" t="n">
        <v>0</v>
      </c>
      <c r="G23" s="4">
        <f>C23*$G$2</f>
        <v/>
      </c>
      <c r="H23" s="4">
        <f>D23*$H$2</f>
        <v/>
      </c>
      <c r="I23" s="4">
        <f>C23*$J$2</f>
        <v/>
      </c>
      <c r="J23" s="4">
        <f>D23*$K$2</f>
        <v/>
      </c>
      <c r="K23" s="4">
        <f>$B$2-G23</f>
        <v/>
      </c>
      <c r="L23" s="4">
        <f>$C$2+H23</f>
        <v/>
      </c>
      <c r="M23" s="4">
        <f>$B$2-I23</f>
        <v/>
      </c>
      <c r="N23" s="4">
        <f>$C$2+J23</f>
        <v/>
      </c>
    </row>
    <row r="24">
      <c r="A24" s="4" t="inlineStr">
        <is>
          <t>RK_SistersDerss</t>
        </is>
      </c>
      <c r="B24" s="4" t="inlineStr">
        <is>
          <t>재료의존</t>
        </is>
      </c>
      <c r="C24" s="4" t="n">
        <v>0.35</v>
      </c>
      <c r="D24" s="4" t="n">
        <v>0.45</v>
      </c>
      <c r="E24" s="4" t="n">
        <v>0</v>
      </c>
      <c r="F24" s="4" t="n">
        <v>0</v>
      </c>
      <c r="G24" s="4">
        <f>C24*$G$2</f>
        <v/>
      </c>
      <c r="H24" s="4">
        <f>D24*$H$2</f>
        <v/>
      </c>
      <c r="I24" s="4">
        <f>C24*$J$2</f>
        <v/>
      </c>
      <c r="J24" s="4">
        <f>D24*$K$2</f>
        <v/>
      </c>
      <c r="K24" s="4">
        <f>$B$2-G24</f>
        <v/>
      </c>
      <c r="L24" s="4">
        <f>$C$2+H24</f>
        <v/>
      </c>
      <c r="M24" s="4">
        <f>$B$2-I24</f>
        <v/>
      </c>
      <c r="N24" s="4">
        <f>$C$2+J24</f>
        <v/>
      </c>
    </row>
    <row r="25">
      <c r="A25" s="4" t="inlineStr">
        <is>
          <t>RK_SistersVeil</t>
        </is>
      </c>
      <c r="B25" s="4" t="inlineStr">
        <is>
          <t>재료의존</t>
        </is>
      </c>
      <c r="C25" s="4" t="n">
        <v>0.25</v>
      </c>
      <c r="D25" s="4" t="n">
        <v>0.15</v>
      </c>
      <c r="E25" s="4" t="n">
        <v>0</v>
      </c>
      <c r="F25" s="4" t="n">
        <v>0</v>
      </c>
      <c r="G25" s="4">
        <f>C25*$G$2</f>
        <v/>
      </c>
      <c r="H25" s="4">
        <f>D25*$H$2</f>
        <v/>
      </c>
      <c r="I25" s="4">
        <f>C25*$J$2</f>
        <v/>
      </c>
      <c r="J25" s="4">
        <f>D25*$K$2</f>
        <v/>
      </c>
      <c r="K25" s="4">
        <f>$B$2-G25</f>
        <v/>
      </c>
      <c r="L25" s="4">
        <f>$C$2+H25</f>
        <v/>
      </c>
      <c r="M25" s="4">
        <f>$B$2-I25</f>
        <v/>
      </c>
      <c r="N25" s="4">
        <f>$C$2+J25</f>
        <v/>
      </c>
    </row>
    <row r="26">
      <c r="A26" s="4" t="inlineStr">
        <is>
          <t>RK_BattleSuit</t>
        </is>
      </c>
      <c r="B26" s="4" t="inlineStr">
        <is>
          <t>재료의존</t>
        </is>
      </c>
      <c r="C26" s="4" t="n">
        <v>0.55</v>
      </c>
      <c r="D26" s="4" t="n">
        <v>0.45</v>
      </c>
      <c r="E26" s="4" t="n">
        <v>0</v>
      </c>
      <c r="F26" s="4" t="n">
        <v>0</v>
      </c>
      <c r="G26" s="4">
        <f>C26*$G$2</f>
        <v/>
      </c>
      <c r="H26" s="4">
        <f>D26*$H$2</f>
        <v/>
      </c>
      <c r="I26" s="4">
        <f>C26*$J$2</f>
        <v/>
      </c>
      <c r="J26" s="4">
        <f>D26*$K$2</f>
        <v/>
      </c>
      <c r="K26" s="4">
        <f>$B$2-G26</f>
        <v/>
      </c>
      <c r="L26" s="4">
        <f>$C$2+H26</f>
        <v/>
      </c>
      <c r="M26" s="4">
        <f>$B$2-I26</f>
        <v/>
      </c>
      <c r="N26" s="4">
        <f>$C$2+J26</f>
        <v/>
      </c>
    </row>
    <row r="27">
      <c r="A27" s="4" t="inlineStr">
        <is>
          <t>RK_Apparel_GasMask</t>
        </is>
      </c>
      <c r="B27" s="4" t="inlineStr">
        <is>
          <t>재료의존</t>
        </is>
      </c>
      <c r="C27" s="4" t="n">
        <v>0.55</v>
      </c>
      <c r="D27" s="4" t="n">
        <v>0.45</v>
      </c>
      <c r="E27" s="4" t="n">
        <v>0</v>
      </c>
      <c r="F27" s="4" t="n">
        <v>0</v>
      </c>
      <c r="G27" s="4">
        <f>C27*$G$2</f>
        <v/>
      </c>
      <c r="H27" s="4">
        <f>D27*$H$2</f>
        <v/>
      </c>
      <c r="I27" s="4">
        <f>C27*$J$2</f>
        <v/>
      </c>
      <c r="J27" s="4">
        <f>D27*$K$2</f>
        <v/>
      </c>
      <c r="K27" s="4">
        <f>$B$2-G27</f>
        <v/>
      </c>
      <c r="L27" s="4">
        <f>$C$2+H27</f>
        <v/>
      </c>
      <c r="M27" s="4">
        <f>$B$2-I27</f>
        <v/>
      </c>
      <c r="N27" s="4">
        <f>$C$2+J27</f>
        <v/>
      </c>
    </row>
    <row r="28">
      <c r="A28" s="4" t="inlineStr">
        <is>
          <t>RK_HeadBand</t>
        </is>
      </c>
      <c r="B28" s="4" t="inlineStr">
        <is>
          <t>재료의존</t>
        </is>
      </c>
      <c r="C28" s="4" t="n">
        <v>0.15</v>
      </c>
      <c r="D28" s="4" t="n">
        <v>0.15</v>
      </c>
      <c r="E28" s="4" t="n">
        <v>0</v>
      </c>
      <c r="F28" s="4" t="n">
        <v>0</v>
      </c>
      <c r="G28" s="4">
        <f>C28*$G$2</f>
        <v/>
      </c>
      <c r="H28" s="4">
        <f>D28*$H$2</f>
        <v/>
      </c>
      <c r="I28" s="4">
        <f>C28*$J$2</f>
        <v/>
      </c>
      <c r="J28" s="4">
        <f>D28*$K$2</f>
        <v/>
      </c>
      <c r="K28" s="4">
        <f>$B$2-G28</f>
        <v/>
      </c>
      <c r="L28" s="4">
        <f>$C$2+H28</f>
        <v/>
      </c>
      <c r="M28" s="4">
        <f>$B$2-I28</f>
        <v/>
      </c>
      <c r="N28" s="4">
        <f>$C$2+J28</f>
        <v/>
      </c>
    </row>
    <row r="29">
      <c r="A29" s="4" t="inlineStr">
        <is>
          <t>RK_SantaHat</t>
        </is>
      </c>
      <c r="B29" s="4" t="inlineStr">
        <is>
          <t>재료의존</t>
        </is>
      </c>
      <c r="C29" s="4" t="n">
        <v>0.65</v>
      </c>
      <c r="D29" s="4" t="n">
        <v>0</v>
      </c>
      <c r="E29" s="4" t="n">
        <v>0</v>
      </c>
      <c r="F29" s="4" t="n">
        <v>0</v>
      </c>
      <c r="G29" s="4">
        <f>C29*$G$2</f>
        <v/>
      </c>
      <c r="H29" s="4">
        <f>D29*$H$2</f>
        <v/>
      </c>
      <c r="I29" s="4">
        <f>C29*$J$2</f>
        <v/>
      </c>
      <c r="J29" s="4">
        <f>D29*$K$2</f>
        <v/>
      </c>
      <c r="K29" s="4">
        <f>$B$2-G29</f>
        <v/>
      </c>
      <c r="L29" s="4">
        <f>$C$2+H29</f>
        <v/>
      </c>
      <c r="M29" s="4">
        <f>$B$2-I29</f>
        <v/>
      </c>
      <c r="N29" s="4">
        <f>$C$2+J29</f>
        <v/>
      </c>
    </row>
    <row r="30">
      <c r="A30" s="4" t="inlineStr">
        <is>
          <t>RK_Cardigan</t>
        </is>
      </c>
      <c r="B30" s="4" t="inlineStr">
        <is>
          <t>혼합</t>
        </is>
      </c>
      <c r="C30" s="4" t="n">
        <v>0.95</v>
      </c>
      <c r="D30" s="4" t="n">
        <v>0.3</v>
      </c>
      <c r="E30" s="4" t="n">
        <v>8</v>
      </c>
      <c r="F30" s="4" t="n">
        <v>0</v>
      </c>
      <c r="G30" s="4">
        <f>E30+C30*$G$2</f>
        <v/>
      </c>
      <c r="H30" s="4">
        <f>F30+D30*$H$2</f>
        <v/>
      </c>
      <c r="I30" s="4">
        <f>E30+C30*$J$2</f>
        <v/>
      </c>
      <c r="J30" s="4">
        <f>F30+D30*$K$2</f>
        <v/>
      </c>
      <c r="K30" s="4">
        <f>$B$2-G30</f>
        <v/>
      </c>
      <c r="L30" s="4">
        <f>$C$2+H30</f>
        <v/>
      </c>
      <c r="M30" s="4">
        <f>$B$2-I30</f>
        <v/>
      </c>
      <c r="N30" s="4">
        <f>$C$2+J30</f>
        <v/>
      </c>
    </row>
    <row r="31">
      <c r="A31" s="4" t="inlineStr">
        <is>
          <t>RK_WinterRobe</t>
        </is>
      </c>
      <c r="B31" s="4" t="inlineStr">
        <is>
          <t>혼합</t>
        </is>
      </c>
      <c r="C31" s="4" t="n">
        <v>1.2</v>
      </c>
      <c r="D31" s="4" t="n">
        <v>0</v>
      </c>
      <c r="E31" s="4" t="n">
        <v>8</v>
      </c>
      <c r="F31" s="4" t="n">
        <v>0</v>
      </c>
      <c r="G31" s="4">
        <f>E31+C31*$G$2</f>
        <v/>
      </c>
      <c r="H31" s="4">
        <f>F31+D31*$H$2</f>
        <v/>
      </c>
      <c r="I31" s="4">
        <f>E31+C31*$J$2</f>
        <v/>
      </c>
      <c r="J31" s="4">
        <f>F31+D31*$K$2</f>
        <v/>
      </c>
      <c r="K31" s="4">
        <f>$B$2-G31</f>
        <v/>
      </c>
      <c r="L31" s="4">
        <f>$C$2+H31</f>
        <v/>
      </c>
      <c r="M31" s="4">
        <f>$B$2-I31</f>
        <v/>
      </c>
      <c r="N31" s="4">
        <f>$C$2+J31</f>
        <v/>
      </c>
    </row>
    <row r="32">
      <c r="A32" s="4" t="inlineStr">
        <is>
          <t>RK_RoyalRobe</t>
        </is>
      </c>
      <c r="B32" s="4" t="inlineStr">
        <is>
          <t>혼합</t>
        </is>
      </c>
      <c r="C32" s="4" t="n">
        <v>1.4</v>
      </c>
      <c r="D32" s="4" t="n">
        <v>0</v>
      </c>
      <c r="E32" s="4" t="n">
        <v>12</v>
      </c>
      <c r="F32" s="4" t="n">
        <v>0</v>
      </c>
      <c r="G32" s="4">
        <f>E32+C32*$G$2</f>
        <v/>
      </c>
      <c r="H32" s="4">
        <f>F32+D32*$H$2</f>
        <v/>
      </c>
      <c r="I32" s="4">
        <f>E32+C32*$J$2</f>
        <v/>
      </c>
      <c r="J32" s="4">
        <f>F32+D32*$K$2</f>
        <v/>
      </c>
      <c r="K32" s="4">
        <f>$B$2-G32</f>
        <v/>
      </c>
      <c r="L32" s="4">
        <f>$C$2+H32</f>
        <v/>
      </c>
      <c r="M32" s="4">
        <f>$B$2-I32</f>
        <v/>
      </c>
      <c r="N32" s="4">
        <f>$C$2+J32</f>
        <v/>
      </c>
    </row>
    <row r="33">
      <c r="A33" s="4" t="inlineStr">
        <is>
          <t>RK_SantaRobe</t>
        </is>
      </c>
      <c r="B33" s="4" t="inlineStr">
        <is>
          <t>혼합</t>
        </is>
      </c>
      <c r="C33" s="4" t="n">
        <v>1.3</v>
      </c>
      <c r="D33" s="4" t="n">
        <v>0</v>
      </c>
      <c r="E33" s="4" t="n">
        <v>13</v>
      </c>
      <c r="F33" s="4" t="n">
        <v>0</v>
      </c>
      <c r="G33" s="4">
        <f>E33+C33*$G$2</f>
        <v/>
      </c>
      <c r="H33" s="4">
        <f>F33+D33*$H$2</f>
        <v/>
      </c>
      <c r="I33" s="4">
        <f>E33+C33*$J$2</f>
        <v/>
      </c>
      <c r="J33" s="4">
        <f>F33+D33*$K$2</f>
        <v/>
      </c>
      <c r="K33" s="4">
        <f>$B$2-G33</f>
        <v/>
      </c>
      <c r="L33" s="4">
        <f>$C$2+H33</f>
        <v/>
      </c>
      <c r="M33" s="4">
        <f>$B$2-I33</f>
        <v/>
      </c>
      <c r="N33" s="4">
        <f>$C$2+J33</f>
        <v/>
      </c>
    </row>
    <row r="36">
      <c r="A36" s="5" t="inlineStr">
        <is>
          <t>차트 데이터 (defName별 착용 온도 범위)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2026-03-04T05:48:21Z</dcterms:created>
  <dcterms:modified xsi:type="dcterms:W3CDTF">2026-03-04T05:48:21Z</dcterms:modified>
</cp:coreProperties>
</file>