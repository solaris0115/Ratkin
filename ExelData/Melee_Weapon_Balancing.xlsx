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dit_Values" sheetId="1" state="visible" r:id="rId1"/>
    <sheet name="Material_Reference" sheetId="2" state="visible" r:id="rId2"/>
    <sheet name="Parameters" sheetId="3" state="visible" r:id="rId3"/>
    <sheet name="Sharp" sheetId="4" state="visible" r:id="rId4"/>
    <sheet name="Blunt" sheetId="5" state="visible" r:id="rId5"/>
    <sheet name="Rimworld" sheetId="6" state="visible" r:id="rId6"/>
    <sheet name="Ratkin" sheetId="7" state="visible" r:id="rId7"/>
    <sheet name="Core" sheetId="8" state="visible" r:id="rId8"/>
    <sheet name="Royalty" sheetId="9" state="visible" r:id="rId9"/>
    <sheet name="Odyssey" sheetId="10" state="visible" r:id="rId10"/>
  </sheets>
  <definedNames>
    <definedName name="_xlnm._FilterDatabase" localSheetId="3" hidden="1">'Sharp'!$A$2:$G$54</definedName>
    <definedName name="_xlnm._FilterDatabase" localSheetId="4" hidden="1">'Blunt'!$A$2:$G$36</definedName>
    <definedName name="_xlnm._FilterDatabase" localSheetId="5" hidden="1">'Rimworld'!$A$1:$G$46</definedName>
    <definedName name="_xlnm._FilterDatabase" localSheetId="6" hidden="1">'Ratkin'!$A$1:$G$42</definedName>
    <definedName name="_xlnm._FilterDatabase" localSheetId="7" hidden="1">'Core'!$A$1:$G$21</definedName>
    <definedName name="_xlnm._FilterDatabase" localSheetId="8" hidden="1">'Royalty'!$A$1:$G$22</definedName>
    <definedName name="_xlnm._FilterDatabase" localSheetId="9" hidden="1">'Odyssey'!$A$1:$G$5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>
      <b val="1"/>
      <color rgb="00FFFFFF"/>
      <sz val="11"/>
    </font>
    <font>
      <color rgb="000563C1"/>
      <u val="single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2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0" borderId="0" pivotButton="0" quotePrefix="0" xfId="0"/>
    <xf numFmtId="0" fontId="2" fillId="2" borderId="1" applyAlignment="1" pivotButton="0" quotePrefix="0" xfId="0">
      <alignment horizontal="center"/>
    </xf>
    <xf numFmtId="0" fontId="0" fillId="0" borderId="1" pivotButton="0" quotePrefix="0" xfId="0"/>
    <xf numFmtId="2" fontId="0" fillId="0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hyperlink" Target="#Edit_Values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Edit_Values!A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</cols>
  <sheetData>
    <row r="1">
      <c r="A1" t="inlineStr">
        <is>
          <t>Slot 1 (sharp)</t>
        </is>
      </c>
      <c r="B1" t="inlineStr">
        <is>
          <t>DMG_MULT</t>
        </is>
      </c>
      <c r="C1" t="inlineStr">
        <is>
          <t>CD_MULT</t>
        </is>
      </c>
    </row>
    <row r="2">
      <c r="A2" t="inlineStr">
        <is>
          <t>기본: Plasteel</t>
        </is>
      </c>
      <c r="B2" s="1" t="n">
        <v>1.1</v>
      </c>
      <c r="C2" s="1" t="n">
        <v>0.8</v>
      </c>
    </row>
    <row r="3">
      <c r="A3" t="inlineStr">
        <is>
          <t>Slot 2 (blunt)</t>
        </is>
      </c>
      <c r="B3" t="inlineStr">
        <is>
          <t>DMG_MULT</t>
        </is>
      </c>
      <c r="C3" t="inlineStr">
        <is>
          <t>CD_MULT</t>
        </is>
      </c>
    </row>
    <row r="4">
      <c r="A4" t="inlineStr">
        <is>
          <t>기본: Uranium</t>
        </is>
      </c>
      <c r="B4" s="1" t="n">
        <v>1.5</v>
      </c>
      <c r="C4" s="1" t="n">
        <v>1.1</v>
      </c>
    </row>
    <row r="6">
      <c r="A6" s="2" t="inlineStr">
        <is>
          <t>참조: 소재별 계수 (직접 수정 시 참고). piercing=power×quality×DMG_MULT×0.015</t>
        </is>
      </c>
    </row>
    <row r="7">
      <c r="A7" s="3" t="inlineStr">
        <is>
          <t>소재</t>
        </is>
      </c>
      <c r="B7" s="3" t="inlineStr">
        <is>
          <t>Sharp</t>
        </is>
      </c>
      <c r="C7" s="3" t="inlineStr">
        <is>
          <t>Blunt</t>
        </is>
      </c>
      <c r="D7" s="3" t="inlineStr">
        <is>
          <t>Cooldown</t>
        </is>
      </c>
    </row>
    <row r="8">
      <c r="A8" t="inlineStr">
        <is>
          <t>Steel</t>
        </is>
      </c>
      <c r="B8" s="1" t="n">
        <v>1</v>
      </c>
      <c r="C8" s="1" t="n">
        <v>1</v>
      </c>
      <c r="D8" s="1" t="n">
        <v>1</v>
      </c>
    </row>
    <row r="9">
      <c r="A9" t="inlineStr">
        <is>
          <t>Uranium</t>
        </is>
      </c>
      <c r="B9" s="1" t="n">
        <v>1.1</v>
      </c>
      <c r="C9" s="1" t="n">
        <v>1.5</v>
      </c>
      <c r="D9" s="1" t="n">
        <v>1.1</v>
      </c>
    </row>
    <row r="10">
      <c r="A10" t="inlineStr">
        <is>
          <t>Plasteel</t>
        </is>
      </c>
      <c r="B10" s="1" t="n">
        <v>1.1</v>
      </c>
      <c r="C10" s="1" t="n">
        <v>0.9</v>
      </c>
      <c r="D10" s="1" t="n">
        <v>0.8</v>
      </c>
    </row>
    <row r="11">
      <c r="A11" t="inlineStr">
        <is>
          <t>Bioferrite</t>
        </is>
      </c>
      <c r="B11" s="1" t="n">
        <v>1.3</v>
      </c>
      <c r="C11" s="1" t="n">
        <v>0.9</v>
      </c>
      <c r="D11" s="1" t="n">
        <v>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4" customWidth="1" min="4" max="4"/>
  </cols>
  <sheetData>
    <row r="1">
      <c r="A1" s="3" t="inlineStr">
        <is>
          <t>소재</t>
        </is>
      </c>
      <c r="B1" s="3" t="inlineStr">
        <is>
          <t>SharpDamageMult</t>
        </is>
      </c>
      <c r="C1" s="3" t="inlineStr">
        <is>
          <t>BluntDamageMult</t>
        </is>
      </c>
      <c r="D1" s="3" t="inlineStr">
        <is>
          <t>CooldownMult</t>
        </is>
      </c>
    </row>
    <row r="2">
      <c r="A2" t="inlineStr">
        <is>
          <t>참조: combat-coefficients.md</t>
        </is>
      </c>
    </row>
    <row r="3">
      <c r="A3" t="inlineStr">
        <is>
          <t>Steel</t>
        </is>
      </c>
      <c r="B3" s="1" t="n">
        <v>1</v>
      </c>
      <c r="C3" s="1" t="n">
        <v>1</v>
      </c>
      <c r="D3" s="1" t="n">
        <v>1</v>
      </c>
    </row>
    <row r="4">
      <c r="A4" t="inlineStr">
        <is>
          <t>Uranium</t>
        </is>
      </c>
      <c r="B4" s="1" t="n">
        <v>1.1</v>
      </c>
      <c r="C4" s="1" t="n">
        <v>1.5</v>
      </c>
      <c r="D4" s="1" t="n">
        <v>1.1</v>
      </c>
    </row>
    <row r="5">
      <c r="A5" t="inlineStr">
        <is>
          <t>Plasteel</t>
        </is>
      </c>
      <c r="B5" s="1" t="n">
        <v>1.1</v>
      </c>
      <c r="C5" s="1" t="n">
        <v>0.9</v>
      </c>
      <c r="D5" s="1" t="n">
        <v>0.8</v>
      </c>
    </row>
    <row r="6">
      <c r="A6" t="inlineStr">
        <is>
          <t>Bioferrite</t>
        </is>
      </c>
      <c r="B6" s="1" t="n">
        <v>1.3</v>
      </c>
      <c r="C6" s="1" t="n">
        <v>0.9</v>
      </c>
      <c r="D6" s="1" t="n">
        <v>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35" customWidth="1" min="3" max="3"/>
  </cols>
  <sheetData>
    <row r="1">
      <c r="A1" s="3" t="inlineStr">
        <is>
          <t>계수</t>
        </is>
      </c>
      <c r="B1" s="3" t="inlineStr">
        <is>
          <t>값</t>
        </is>
      </c>
      <c r="C1" s="3" t="inlineStr">
        <is>
          <t>설명</t>
        </is>
      </c>
    </row>
    <row r="2">
      <c r="A2" t="inlineStr">
        <is>
          <t>QUALITY_LEGENDARY</t>
        </is>
      </c>
      <c r="B2" s="1" t="n">
        <v>1.65</v>
      </c>
      <c r="C2" t="inlineStr">
        <is>
          <t>전설등급 피해 배율</t>
        </is>
      </c>
    </row>
    <row r="3">
      <c r="A3" t="inlineStr">
        <is>
          <t>PLASTEEL_DMG</t>
        </is>
      </c>
      <c r="B3">
        <f>Edit_Values!$B$2</f>
        <v/>
      </c>
      <c r="C3" t="inlineStr">
        <is>
          <t>sharp 소재 피해 배율 (Edit_Values Slot1)</t>
        </is>
      </c>
    </row>
    <row r="4">
      <c r="A4" t="inlineStr">
        <is>
          <t>PLASTEEL_CD</t>
        </is>
      </c>
      <c r="B4">
        <f>Edit_Values!$C$2</f>
        <v/>
      </c>
      <c r="C4" t="inlineStr">
        <is>
          <t>sharp 소재 쿨다운 배율 (Edit_Values Slot1)</t>
        </is>
      </c>
    </row>
    <row r="5">
      <c r="A5" t="inlineStr">
        <is>
          <t>URANIUM_DMG</t>
        </is>
      </c>
      <c r="B5">
        <f>Edit_Values!$B$4</f>
        <v/>
      </c>
      <c r="C5" t="inlineStr">
        <is>
          <t>blunt 소재 피해 배율 (Edit_Values Slot2)</t>
        </is>
      </c>
    </row>
    <row r="6">
      <c r="A6" t="inlineStr">
        <is>
          <t>URANIUM_CD</t>
        </is>
      </c>
      <c r="B6">
        <f>Edit_Values!$C$4</f>
        <v/>
      </c>
      <c r="C6" t="inlineStr">
        <is>
          <t>blunt 소재 쿨다운 배율 (Edit_Values Slot2)</t>
        </is>
      </c>
    </row>
    <row r="7">
      <c r="A7" t="inlineStr">
        <is>
          <t>PIERCING_FACTOR</t>
        </is>
      </c>
      <c r="B7" s="1" t="n">
        <v>0.015</v>
      </c>
      <c r="C7" t="inlineStr">
        <is>
          <t>관통력 power기반 계산: effective_damage×이값 (armorPenetration 미지정 시)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4"/>
  <sheetViews>
    <sheetView workbookViewId="0">
      <selection activeCell="A1" sqref="A1"/>
    </sheetView>
  </sheetViews>
  <sheetFormatPr baseColWidth="8" defaultRowHeight="15"/>
  <cols>
    <col width="35" customWidth="1" min="1" max="1"/>
    <col width="13" customWidth="1" min="2" max="2"/>
    <col width="40" customWidth="1" min="3" max="3"/>
    <col width="8" customWidth="1" min="4" max="4"/>
    <col width="40" customWidth="1" min="5" max="5"/>
    <col width="11" customWidth="1" min="6" max="6"/>
    <col width="40" customWidth="1" min="7" max="7"/>
  </cols>
  <sheetData>
    <row r="1">
      <c r="A1" s="4" t="inlineStr">
        <is>
          <t>참조: Edit_Values Slot1 (Plasteel) - 클릭하여 계수 수정</t>
        </is>
      </c>
    </row>
    <row r="2">
      <c r="A2" s="5" t="inlineStr">
        <is>
          <t>defName</t>
        </is>
      </c>
      <c r="B2" s="5" t="inlineStr">
        <is>
          <t>생산</t>
        </is>
      </c>
      <c r="C2" s="5" t="inlineStr">
        <is>
          <t>damageType</t>
        </is>
      </c>
      <c r="D2" s="5" t="inlineStr">
        <is>
          <t>power</t>
        </is>
      </c>
      <c r="E2" s="5" t="inlineStr">
        <is>
          <t>piercing</t>
        </is>
      </c>
      <c r="F2" s="5" t="inlineStr">
        <is>
          <t>cooldown</t>
        </is>
      </c>
      <c r="G2" s="5" t="inlineStr">
        <is>
          <t>DPS</t>
        </is>
      </c>
    </row>
    <row r="3">
      <c r="A3" s="6" t="inlineStr">
        <is>
          <t>MeleeWeapon_Gladius</t>
        </is>
      </c>
      <c r="B3" s="6" t="inlineStr">
        <is>
          <t>stuff</t>
        </is>
      </c>
      <c r="C3" s="6" t="inlineStr">
        <is>
          <t>Stab(sharp)</t>
        </is>
      </c>
      <c r="D3" s="7" t="n">
        <v>16</v>
      </c>
      <c r="E3" s="7">
        <f>ROUND(D3*Parameters!$B$2*IF(AND(B3="stuff",OR(ISNUMBER(SEARCH("(sharp)",C3)),ISNUMBER(SEARCH("(heat)",C3)))),Edit_Values!$B$2,IF(AND(B3="stuff",ISNUMBER(SEARCH("(blunt)",C3))),Edit_Values!$B$4,1))*Parameters!$B$7,2)</f>
        <v/>
      </c>
      <c r="F3" s="7" t="n">
        <v>2</v>
      </c>
      <c r="G3" s="7">
        <f>ROUND((D3*IF(AND(B3="stuff",ISNUMBER(SEARCH("(sharp)",C3))),Parameters!$B$2*Parameters!$B$3,IF(AND(B3="stuff",ISNUMBER(SEARCH("(blunt)",C3))),Parameters!$B$2*Parameters!$B$5,Parameters!$B$2)))/(F3*IF(AND(B3="stuff",OR(ISNUMBER(SEARCH("(sharp)",C3)),ISNUMBER(SEARCH("(heat)",C3)))),Parameters!$B$4,IF(AND(B3="stuff",ISNUMBER(SEARCH("(blunt)",C3))),Parameters!$B$6,1))),2)</f>
        <v/>
      </c>
    </row>
    <row r="4">
      <c r="A4" s="6" t="inlineStr">
        <is>
          <t>MeleeWeapon_Gladius</t>
        </is>
      </c>
      <c r="B4" s="6" t="inlineStr">
        <is>
          <t>stuff</t>
        </is>
      </c>
      <c r="C4" s="6" t="inlineStr">
        <is>
          <t>Cut(sharp)</t>
        </is>
      </c>
      <c r="D4" s="7" t="n">
        <v>16</v>
      </c>
      <c r="E4" s="7">
        <f>ROUND(D4*Parameters!$B$2*IF(AND(B4="stuff",OR(ISNUMBER(SEARCH("(sharp)",C4)),ISNUMBER(SEARCH("(heat)",C4)))),Edit_Values!$B$2,IF(AND(B4="stuff",ISNUMBER(SEARCH("(blunt)",C4))),Edit_Values!$B$4,1))*Parameters!$B$7,2)</f>
        <v/>
      </c>
      <c r="F4" s="7" t="n">
        <v>2</v>
      </c>
      <c r="G4" s="7">
        <f>ROUND((D4*IF(AND(B4="stuff",ISNUMBER(SEARCH("(sharp)",C4))),Parameters!$B$2*Parameters!$B$3,IF(AND(B4="stuff",ISNUMBER(SEARCH("(blunt)",C4))),Parameters!$B$2*Parameters!$B$5,Parameters!$B$2)))/(F4*IF(AND(B4="stuff",OR(ISNUMBER(SEARCH("(sharp)",C4)),ISNUMBER(SEARCH("(heat)",C4)))),Parameters!$B$4,IF(AND(B4="stuff",ISNUMBER(SEARCH("(blunt)",C4))),Parameters!$B$6,1))),2)</f>
        <v/>
      </c>
    </row>
    <row r="5">
      <c r="A5" s="6" t="inlineStr">
        <is>
          <t>MeleeWeapon_LongSword</t>
        </is>
      </c>
      <c r="B5" s="6" t="inlineStr">
        <is>
          <t>stuff</t>
        </is>
      </c>
      <c r="C5" s="6" t="inlineStr">
        <is>
          <t>Stab(sharp)</t>
        </is>
      </c>
      <c r="D5" s="7" t="n">
        <v>23</v>
      </c>
      <c r="E5" s="7">
        <f>ROUND(D5*Parameters!$B$2*IF(AND(B5="stuff",OR(ISNUMBER(SEARCH("(sharp)",C5)),ISNUMBER(SEARCH("(heat)",C5)))),Edit_Values!$B$2,IF(AND(B5="stuff",ISNUMBER(SEARCH("(blunt)",C5))),Edit_Values!$B$4,1))*Parameters!$B$7,2)</f>
        <v/>
      </c>
      <c r="F5" s="7" t="n">
        <v>2.6</v>
      </c>
      <c r="G5" s="7">
        <f>ROUND((D5*IF(AND(B5="stuff",ISNUMBER(SEARCH("(sharp)",C5))),Parameters!$B$2*Parameters!$B$3,IF(AND(B5="stuff",ISNUMBER(SEARCH("(blunt)",C5))),Parameters!$B$2*Parameters!$B$5,Parameters!$B$2)))/(F5*IF(AND(B5="stuff",OR(ISNUMBER(SEARCH("(sharp)",C5)),ISNUMBER(SEARCH("(heat)",C5)))),Parameters!$B$4,IF(AND(B5="stuff",ISNUMBER(SEARCH("(blunt)",C5))),Parameters!$B$6,1))),2)</f>
        <v/>
      </c>
    </row>
    <row r="6">
      <c r="A6" s="6" t="inlineStr">
        <is>
          <t>MeleeWeapon_LongSword</t>
        </is>
      </c>
      <c r="B6" s="6" t="inlineStr">
        <is>
          <t>stuff</t>
        </is>
      </c>
      <c r="C6" s="6" t="inlineStr">
        <is>
          <t>Cut(sharp)</t>
        </is>
      </c>
      <c r="D6" s="7" t="n">
        <v>23</v>
      </c>
      <c r="E6" s="7">
        <f>ROUND(D6*Parameters!$B$2*IF(AND(B6="stuff",OR(ISNUMBER(SEARCH("(sharp)",C6)),ISNUMBER(SEARCH("(heat)",C6)))),Edit_Values!$B$2,IF(AND(B6="stuff",ISNUMBER(SEARCH("(blunt)",C6))),Edit_Values!$B$4,1))*Parameters!$B$7,2)</f>
        <v/>
      </c>
      <c r="F6" s="7" t="n">
        <v>2.6</v>
      </c>
      <c r="G6" s="7">
        <f>ROUND((D6*IF(AND(B6="stuff",ISNUMBER(SEARCH("(sharp)",C6))),Parameters!$B$2*Parameters!$B$3,IF(AND(B6="stuff",ISNUMBER(SEARCH("(blunt)",C6))),Parameters!$B$2*Parameters!$B$5,Parameters!$B$2)))/(F6*IF(AND(B6="stuff",OR(ISNUMBER(SEARCH("(sharp)",C6)),ISNUMBER(SEARCH("(heat)",C6)))),Parameters!$B$4,IF(AND(B6="stuff",ISNUMBER(SEARCH("(blunt)",C6))),Parameters!$B$6,1))),2)</f>
        <v/>
      </c>
    </row>
    <row r="7">
      <c r="A7" s="6" t="inlineStr">
        <is>
          <t>MeleeWeapon_Knife</t>
        </is>
      </c>
      <c r="B7" s="6" t="inlineStr">
        <is>
          <t>stuff</t>
        </is>
      </c>
      <c r="C7" s="6" t="inlineStr">
        <is>
          <t>Cut(sharp)</t>
        </is>
      </c>
      <c r="D7" s="7" t="n">
        <v>12</v>
      </c>
      <c r="E7" s="7">
        <f>ROUND(D7*Parameters!$B$2*IF(AND(B7="stuff",OR(ISNUMBER(SEARCH("(sharp)",C7)),ISNUMBER(SEARCH("(heat)",C7)))),Edit_Values!$B$2,IF(AND(B7="stuff",ISNUMBER(SEARCH("(blunt)",C7))),Edit_Values!$B$4,1))*Parameters!$B$7,2)</f>
        <v/>
      </c>
      <c r="F7" s="7" t="n">
        <v>1.5</v>
      </c>
      <c r="G7" s="7">
        <f>ROUND((D7*IF(AND(B7="stuff",ISNUMBER(SEARCH("(sharp)",C7))),Parameters!$B$2*Parameters!$B$3,IF(AND(B7="stuff",ISNUMBER(SEARCH("(blunt)",C7))),Parameters!$B$2*Parameters!$B$5,Parameters!$B$2)))/(F7*IF(AND(B7="stuff",OR(ISNUMBER(SEARCH("(sharp)",C7)),ISNUMBER(SEARCH("(heat)",C7)))),Parameters!$B$4,IF(AND(B7="stuff",ISNUMBER(SEARCH("(blunt)",C7))),Parameters!$B$6,1))),2)</f>
        <v/>
      </c>
    </row>
    <row r="8">
      <c r="A8" s="6" t="inlineStr">
        <is>
          <t>MeleeWeapon_Knife</t>
        </is>
      </c>
      <c r="B8" s="6" t="inlineStr">
        <is>
          <t>stuff</t>
        </is>
      </c>
      <c r="C8" s="6" t="inlineStr">
        <is>
          <t>Stab(sharp)</t>
        </is>
      </c>
      <c r="D8" s="7" t="n">
        <v>13</v>
      </c>
      <c r="E8" s="7">
        <f>ROUND(D8*Parameters!$B$2*IF(AND(B8="stuff",OR(ISNUMBER(SEARCH("(sharp)",C8)),ISNUMBER(SEARCH("(heat)",C8)))),Edit_Values!$B$2,IF(AND(B8="stuff",ISNUMBER(SEARCH("(blunt)",C8))),Edit_Values!$B$4,1))*Parameters!$B$7,2)</f>
        <v/>
      </c>
      <c r="F8" s="7" t="n">
        <v>2</v>
      </c>
      <c r="G8" s="7">
        <f>ROUND((D8*IF(AND(B8="stuff",ISNUMBER(SEARCH("(sharp)",C8))),Parameters!$B$2*Parameters!$B$3,IF(AND(B8="stuff",ISNUMBER(SEARCH("(blunt)",C8))),Parameters!$B$2*Parameters!$B$5,Parameters!$B$2)))/(F8*IF(AND(B8="stuff",OR(ISNUMBER(SEARCH("(sharp)",C8)),ISNUMBER(SEARCH("(heat)",C8)))),Parameters!$B$4,IF(AND(B8="stuff",ISNUMBER(SEARCH("(blunt)",C8))),Parameters!$B$6,1))),2)</f>
        <v/>
      </c>
    </row>
    <row r="9">
      <c r="A9" s="6" t="inlineStr">
        <is>
          <t>MeleeWeapon_Ikwa</t>
        </is>
      </c>
      <c r="B9" s="6" t="inlineStr">
        <is>
          <t>stuff</t>
        </is>
      </c>
      <c r="C9" s="6" t="inlineStr">
        <is>
          <t>Stab(sharp)</t>
        </is>
      </c>
      <c r="D9" s="7" t="n">
        <v>15</v>
      </c>
      <c r="E9" s="7">
        <f>ROUND(D9*Parameters!$B$2*IF(AND(B9="stuff",OR(ISNUMBER(SEARCH("(sharp)",C9)),ISNUMBER(SEARCH("(heat)",C9)))),Edit_Values!$B$2,IF(AND(B9="stuff",ISNUMBER(SEARCH("(blunt)",C9))),Edit_Values!$B$4,1))*Parameters!$B$7,2)</f>
        <v/>
      </c>
      <c r="F9" s="7" t="n">
        <v>2</v>
      </c>
      <c r="G9" s="7">
        <f>ROUND((D9*IF(AND(B9="stuff",ISNUMBER(SEARCH("(sharp)",C9))),Parameters!$B$2*Parameters!$B$3,IF(AND(B9="stuff",ISNUMBER(SEARCH("(blunt)",C9))),Parameters!$B$2*Parameters!$B$5,Parameters!$B$2)))/(F9*IF(AND(B9="stuff",OR(ISNUMBER(SEARCH("(sharp)",C9)),ISNUMBER(SEARCH("(heat)",C9)))),Parameters!$B$4,IF(AND(B9="stuff",ISNUMBER(SEARCH("(blunt)",C9))),Parameters!$B$6,1))),2)</f>
        <v/>
      </c>
    </row>
    <row r="10">
      <c r="A10" s="6" t="inlineStr">
        <is>
          <t>MeleeWeapon_Ikwa</t>
        </is>
      </c>
      <c r="B10" s="6" t="inlineStr">
        <is>
          <t>stuff</t>
        </is>
      </c>
      <c r="C10" s="6" t="inlineStr">
        <is>
          <t>Cut(sharp)</t>
        </is>
      </c>
      <c r="D10" s="7" t="n">
        <v>15</v>
      </c>
      <c r="E10" s="7">
        <f>ROUND(D10*Parameters!$B$2*IF(AND(B10="stuff",OR(ISNUMBER(SEARCH("(sharp)",C10)),ISNUMBER(SEARCH("(heat)",C10)))),Edit_Values!$B$2,IF(AND(B10="stuff",ISNUMBER(SEARCH("(blunt)",C10))),Edit_Values!$B$4,1))*Parameters!$B$7,2)</f>
        <v/>
      </c>
      <c r="F10" s="7" t="n">
        <v>2</v>
      </c>
      <c r="G10" s="7">
        <f>ROUND((D10*IF(AND(B10="stuff",ISNUMBER(SEARCH("(sharp)",C10))),Parameters!$B$2*Parameters!$B$3,IF(AND(B10="stuff",ISNUMBER(SEARCH("(blunt)",C10))),Parameters!$B$2*Parameters!$B$5,Parameters!$B$2)))/(F10*IF(AND(B10="stuff",OR(ISNUMBER(SEARCH("(sharp)",C10)),ISNUMBER(SEARCH("(heat)",C10)))),Parameters!$B$4,IF(AND(B10="stuff",ISNUMBER(SEARCH("(blunt)",C10))),Parameters!$B$6,1))),2)</f>
        <v/>
      </c>
    </row>
    <row r="11">
      <c r="A11" s="6" t="inlineStr">
        <is>
          <t>MeleeWeapon_Spear</t>
        </is>
      </c>
      <c r="B11" s="6" t="inlineStr">
        <is>
          <t>stuff</t>
        </is>
      </c>
      <c r="C11" s="6" t="inlineStr">
        <is>
          <t>Stab(sharp)</t>
        </is>
      </c>
      <c r="D11" s="7" t="n">
        <v>23</v>
      </c>
      <c r="E11" s="7" t="n">
        <v>0.82</v>
      </c>
      <c r="F11" s="7" t="n">
        <v>2.6</v>
      </c>
      <c r="G11" s="7">
        <f>ROUND((D11*IF(AND(B11="stuff",ISNUMBER(SEARCH("(sharp)",C11))),Parameters!$B$2*Parameters!$B$3,IF(AND(B11="stuff",ISNUMBER(SEARCH("(blunt)",C11))),Parameters!$B$2*Parameters!$B$5,Parameters!$B$2)))/(F11*IF(AND(B11="stuff",OR(ISNUMBER(SEARCH("(sharp)",C11)),ISNUMBER(SEARCH("(heat)",C11)))),Parameters!$B$4,IF(AND(B11="stuff",ISNUMBER(SEARCH("(blunt)",C11))),Parameters!$B$6,1))),2)</f>
        <v/>
      </c>
    </row>
    <row r="12">
      <c r="A12" s="6" t="inlineStr">
        <is>
          <t>MeleeWeapon_MonoSwordBladelink</t>
        </is>
      </c>
      <c r="B12" s="6" t="inlineStr">
        <is>
          <t>생산 불가</t>
        </is>
      </c>
      <c r="C12" s="6" t="inlineStr">
        <is>
          <t>Stab(sharp)</t>
        </is>
      </c>
      <c r="D12" s="7" t="n">
        <v>27</v>
      </c>
      <c r="E12" s="7" t="n">
        <v>1.48</v>
      </c>
      <c r="F12" s="7" t="n">
        <v>1.6</v>
      </c>
      <c r="G12" s="7">
        <f>ROUND((D12*IF(AND(B12="stuff",ISNUMBER(SEARCH("(sharp)",C12))),Parameters!$B$2*Parameters!$B$3,IF(AND(B12="stuff",ISNUMBER(SEARCH("(blunt)",C12))),Parameters!$B$2*Parameters!$B$5,Parameters!$B$2)))/(F12*IF(AND(B12="stuff",OR(ISNUMBER(SEARCH("(sharp)",C12)),ISNUMBER(SEARCH("(heat)",C12)))),Parameters!$B$4,IF(AND(B12="stuff",ISNUMBER(SEARCH("(blunt)",C12))),Parameters!$B$6,1))),2)</f>
        <v/>
      </c>
    </row>
    <row r="13">
      <c r="A13" s="6" t="inlineStr">
        <is>
          <t>MeleeWeapon_MonoSwordBladelink</t>
        </is>
      </c>
      <c r="B13" s="6" t="inlineStr">
        <is>
          <t>생산 불가</t>
        </is>
      </c>
      <c r="C13" s="6" t="inlineStr">
        <is>
          <t>Cut(sharp)</t>
        </is>
      </c>
      <c r="D13" s="7" t="n">
        <v>27</v>
      </c>
      <c r="E13" s="7" t="n">
        <v>1.48</v>
      </c>
      <c r="F13" s="7" t="n">
        <v>1.6</v>
      </c>
      <c r="G13" s="7">
        <f>ROUND((D13*IF(AND(B13="stuff",ISNUMBER(SEARCH("(sharp)",C13))),Parameters!$B$2*Parameters!$B$3,IF(AND(B13="stuff",ISNUMBER(SEARCH("(blunt)",C13))),Parameters!$B$2*Parameters!$B$5,Parameters!$B$2)))/(F13*IF(AND(B13="stuff",OR(ISNUMBER(SEARCH("(sharp)",C13)),ISNUMBER(SEARCH("(heat)",C13)))),Parameters!$B$4,IF(AND(B13="stuff",ISNUMBER(SEARCH("(blunt)",C13))),Parameters!$B$6,1))),2)</f>
        <v/>
      </c>
    </row>
    <row r="14">
      <c r="A14" s="6" t="inlineStr">
        <is>
          <t>MeleeWeapon_ZeusHammerBladelink</t>
        </is>
      </c>
      <c r="B14" s="6" t="inlineStr">
        <is>
          <t>생산 불가</t>
        </is>
      </c>
      <c r="C14" s="6" t="inlineStr">
        <is>
          <t>Blunt(blunt)+EMP(sharp)</t>
        </is>
      </c>
      <c r="D14" s="7" t="n">
        <v>31</v>
      </c>
      <c r="E14" s="7">
        <f>ROUND(D14*Parameters!$B$2*IF(AND(B14="stuff",OR(ISNUMBER(SEARCH("(sharp)",C14)),ISNUMBER(SEARCH("(heat)",C14)))),Edit_Values!$B$2,IF(AND(B14="stuff",ISNUMBER(SEARCH("(blunt)",C14))),Edit_Values!$B$4,1))*Parameters!$B$7,2)</f>
        <v/>
      </c>
      <c r="F14" s="7" t="n">
        <v>2.2</v>
      </c>
      <c r="G14" s="7">
        <f>ROUND((D14*IF(AND(B14="stuff",ISNUMBER(SEARCH("(sharp)",C14))),Parameters!$B$2*Parameters!$B$3,IF(AND(B14="stuff",ISNUMBER(SEARCH("(blunt)",C14))),Parameters!$B$2*Parameters!$B$5,Parameters!$B$2)))/(F14*IF(AND(B14="stuff",OR(ISNUMBER(SEARCH("(sharp)",C14)),ISNUMBER(SEARCH("(heat)",C14)))),Parameters!$B$4,IF(AND(B14="stuff",ISNUMBER(SEARCH("(blunt)",C14))),Parameters!$B$6,1))),2)</f>
        <v/>
      </c>
    </row>
    <row r="15">
      <c r="A15" s="6" t="inlineStr">
        <is>
          <t>MeleeWeapon_PlasmaSwordBladelink</t>
        </is>
      </c>
      <c r="B15" s="6" t="inlineStr">
        <is>
          <t>생산 불가</t>
        </is>
      </c>
      <c r="C15" s="6" t="inlineStr">
        <is>
          <t>Stab(sharp)+Flame(heat)</t>
        </is>
      </c>
      <c r="D15" s="7" t="n">
        <v>23</v>
      </c>
      <c r="E15" s="7">
        <f>ROUND(D15*Parameters!$B$2*IF(AND(B15="stuff",OR(ISNUMBER(SEARCH("(sharp)",C15)),ISNUMBER(SEARCH("(heat)",C15)))),Edit_Values!$B$2,IF(AND(B15="stuff",ISNUMBER(SEARCH("(blunt)",C15))),Edit_Values!$B$4,1))*Parameters!$B$7,2)</f>
        <v/>
      </c>
      <c r="F15" s="7" t="n">
        <v>2</v>
      </c>
      <c r="G15" s="7">
        <f>ROUND((D15*IF(AND(B15="stuff",ISNUMBER(SEARCH("(sharp)",C15))),Parameters!$B$2*Parameters!$B$3,IF(AND(B15="stuff",ISNUMBER(SEARCH("(blunt)",C15))),Parameters!$B$2*Parameters!$B$5,Parameters!$B$2)))/(F15*IF(AND(B15="stuff",OR(ISNUMBER(SEARCH("(sharp)",C15)),ISNUMBER(SEARCH("(heat)",C15)))),Parameters!$B$4,IF(AND(B15="stuff",ISNUMBER(SEARCH("(blunt)",C15))),Parameters!$B$6,1))),2)</f>
        <v/>
      </c>
    </row>
    <row r="16">
      <c r="A16" s="6" t="inlineStr">
        <is>
          <t>MeleeWeapon_PlasmaSwordBladelink</t>
        </is>
      </c>
      <c r="B16" s="6" t="inlineStr">
        <is>
          <t>생산 불가</t>
        </is>
      </c>
      <c r="C16" s="6" t="inlineStr">
        <is>
          <t>Cut(sharp)+Flame(heat)</t>
        </is>
      </c>
      <c r="D16" s="7" t="n">
        <v>23</v>
      </c>
      <c r="E16" s="7">
        <f>ROUND(D16*Parameters!$B$2*IF(AND(B16="stuff",OR(ISNUMBER(SEARCH("(sharp)",C16)),ISNUMBER(SEARCH("(heat)",C16)))),Edit_Values!$B$2,IF(AND(B16="stuff",ISNUMBER(SEARCH("(blunt)",C16))),Edit_Values!$B$4,1))*Parameters!$B$7,2)</f>
        <v/>
      </c>
      <c r="F16" s="7" t="n">
        <v>2</v>
      </c>
      <c r="G16" s="7">
        <f>ROUND((D16*IF(AND(B16="stuff",ISNUMBER(SEARCH("(sharp)",C16))),Parameters!$B$2*Parameters!$B$3,IF(AND(B16="stuff",ISNUMBER(SEARCH("(blunt)",C16))),Parameters!$B$2*Parameters!$B$5,Parameters!$B$2)))/(F16*IF(AND(B16="stuff",OR(ISNUMBER(SEARCH("(sharp)",C16)),ISNUMBER(SEARCH("(heat)",C16)))),Parameters!$B$4,IF(AND(B16="stuff",ISNUMBER(SEARCH("(blunt)",C16))),Parameters!$B$6,1))),2)</f>
        <v/>
      </c>
    </row>
    <row r="17">
      <c r="A17" s="6" t="inlineStr">
        <is>
          <t>MeleeWeapon_Axe</t>
        </is>
      </c>
      <c r="B17" s="6" t="inlineStr">
        <is>
          <t>stuff</t>
        </is>
      </c>
      <c r="C17" s="6" t="inlineStr">
        <is>
          <t>Cut(sharp)</t>
        </is>
      </c>
      <c r="D17" s="7" t="n">
        <v>15</v>
      </c>
      <c r="E17" s="7">
        <f>ROUND(D17*Parameters!$B$2*IF(AND(B17="stuff",OR(ISNUMBER(SEARCH("(sharp)",C17)),ISNUMBER(SEARCH("(heat)",C17)))),Edit_Values!$B$2,IF(AND(B17="stuff",ISNUMBER(SEARCH("(blunt)",C17))),Edit_Values!$B$4,1))*Parameters!$B$7,2)</f>
        <v/>
      </c>
      <c r="F17" s="7" t="n">
        <v>2</v>
      </c>
      <c r="G17" s="7">
        <f>ROUND((D17*IF(AND(B17="stuff",ISNUMBER(SEARCH("(sharp)",C17))),Parameters!$B$2*Parameters!$B$3,IF(AND(B17="stuff",ISNUMBER(SEARCH("(blunt)",C17))),Parameters!$B$2*Parameters!$B$5,Parameters!$B$2)))/(F17*IF(AND(B17="stuff",OR(ISNUMBER(SEARCH("(sharp)",C17)),ISNUMBER(SEARCH("(heat)",C17)))),Parameters!$B$4,IF(AND(B17="stuff",ISNUMBER(SEARCH("(blunt)",C17))),Parameters!$B$6,1))),2)</f>
        <v/>
      </c>
    </row>
    <row r="18">
      <c r="A18" s="6" t="inlineStr">
        <is>
          <t>MeleeWeapon_MonoSword</t>
        </is>
      </c>
      <c r="B18" s="6" t="inlineStr">
        <is>
          <t>생산 불가</t>
        </is>
      </c>
      <c r="C18" s="6" t="inlineStr">
        <is>
          <t>Stab(sharp)</t>
        </is>
      </c>
      <c r="D18" s="7" t="n">
        <v>25</v>
      </c>
      <c r="E18" s="7" t="n">
        <v>1.48</v>
      </c>
      <c r="F18" s="7" t="n">
        <v>2</v>
      </c>
      <c r="G18" s="7">
        <f>ROUND((D18*IF(AND(B18="stuff",ISNUMBER(SEARCH("(sharp)",C18))),Parameters!$B$2*Parameters!$B$3,IF(AND(B18="stuff",ISNUMBER(SEARCH("(blunt)",C18))),Parameters!$B$2*Parameters!$B$5,Parameters!$B$2)))/(F18*IF(AND(B18="stuff",OR(ISNUMBER(SEARCH("(sharp)",C18)),ISNUMBER(SEARCH("(heat)",C18)))),Parameters!$B$4,IF(AND(B18="stuff",ISNUMBER(SEARCH("(blunt)",C18))),Parameters!$B$6,1))),2)</f>
        <v/>
      </c>
    </row>
    <row r="19">
      <c r="A19" s="6" t="inlineStr">
        <is>
          <t>MeleeWeapon_MonoSword</t>
        </is>
      </c>
      <c r="B19" s="6" t="inlineStr">
        <is>
          <t>생산 불가</t>
        </is>
      </c>
      <c r="C19" s="6" t="inlineStr">
        <is>
          <t>Cut(sharp)</t>
        </is>
      </c>
      <c r="D19" s="7" t="n">
        <v>25</v>
      </c>
      <c r="E19" s="7" t="n">
        <v>1.48</v>
      </c>
      <c r="F19" s="7" t="n">
        <v>2</v>
      </c>
      <c r="G19" s="7">
        <f>ROUND((D19*IF(AND(B19="stuff",ISNUMBER(SEARCH("(sharp)",C19))),Parameters!$B$2*Parameters!$B$3,IF(AND(B19="stuff",ISNUMBER(SEARCH("(blunt)",C19))),Parameters!$B$2*Parameters!$B$5,Parameters!$B$2)))/(F19*IF(AND(B19="stuff",OR(ISNUMBER(SEARCH("(sharp)",C19)),ISNUMBER(SEARCH("(heat)",C19)))),Parameters!$B$4,IF(AND(B19="stuff",ISNUMBER(SEARCH("(blunt)",C19))),Parameters!$B$6,1))),2)</f>
        <v/>
      </c>
    </row>
    <row r="20">
      <c r="A20" s="6" t="inlineStr">
        <is>
          <t>MeleeWeapon_Zeushammer</t>
        </is>
      </c>
      <c r="B20" s="6" t="inlineStr">
        <is>
          <t>생산 불가</t>
        </is>
      </c>
      <c r="C20" s="6" t="inlineStr">
        <is>
          <t>Blunt(blunt)+EMP(sharp)</t>
        </is>
      </c>
      <c r="D20" s="7" t="n">
        <v>31</v>
      </c>
      <c r="E20" s="7">
        <f>ROUND(D20*Parameters!$B$2*IF(AND(B20="stuff",OR(ISNUMBER(SEARCH("(sharp)",C20)),ISNUMBER(SEARCH("(heat)",C20)))),Edit_Values!$B$2,IF(AND(B20="stuff",ISNUMBER(SEARCH("(blunt)",C20))),Edit_Values!$B$4,1))*Parameters!$B$7,2)</f>
        <v/>
      </c>
      <c r="F20" s="7" t="n">
        <v>3</v>
      </c>
      <c r="G20" s="7">
        <f>ROUND((D20*IF(AND(B20="stuff",ISNUMBER(SEARCH("(sharp)",C20))),Parameters!$B$2*Parameters!$B$3,IF(AND(B20="stuff",ISNUMBER(SEARCH("(blunt)",C20))),Parameters!$B$2*Parameters!$B$5,Parameters!$B$2)))/(F20*IF(AND(B20="stuff",OR(ISNUMBER(SEARCH("(sharp)",C20)),ISNUMBER(SEARCH("(heat)",C20)))),Parameters!$B$4,IF(AND(B20="stuff",ISNUMBER(SEARCH("(blunt)",C20))),Parameters!$B$6,1))),2)</f>
        <v/>
      </c>
    </row>
    <row r="21">
      <c r="A21" s="6" t="inlineStr">
        <is>
          <t>MeleeWeapon_PlasmaSword</t>
        </is>
      </c>
      <c r="B21" s="6" t="inlineStr">
        <is>
          <t>생산 불가</t>
        </is>
      </c>
      <c r="C21" s="6" t="inlineStr">
        <is>
          <t>Stab(sharp)+Flame(heat)</t>
        </is>
      </c>
      <c r="D21" s="7" t="n">
        <v>21</v>
      </c>
      <c r="E21" s="7">
        <f>ROUND(D21*Parameters!$B$2*IF(AND(B21="stuff",OR(ISNUMBER(SEARCH("(sharp)",C21)),ISNUMBER(SEARCH("(heat)",C21)))),Edit_Values!$B$2,IF(AND(B21="stuff",ISNUMBER(SEARCH("(blunt)",C21))),Edit_Values!$B$4,1))*Parameters!$B$7,2)</f>
        <v/>
      </c>
      <c r="F21" s="7" t="n">
        <v>2.6</v>
      </c>
      <c r="G21" s="7">
        <f>ROUND((D21*IF(AND(B21="stuff",ISNUMBER(SEARCH("(sharp)",C21))),Parameters!$B$2*Parameters!$B$3,IF(AND(B21="stuff",ISNUMBER(SEARCH("(blunt)",C21))),Parameters!$B$2*Parameters!$B$5,Parameters!$B$2)))/(F21*IF(AND(B21="stuff",OR(ISNUMBER(SEARCH("(sharp)",C21)),ISNUMBER(SEARCH("(heat)",C21)))),Parameters!$B$4,IF(AND(B21="stuff",ISNUMBER(SEARCH("(blunt)",C21))),Parameters!$B$6,1))),2)</f>
        <v/>
      </c>
    </row>
    <row r="22">
      <c r="A22" s="6" t="inlineStr">
        <is>
          <t>MeleeWeapon_PlasmaSword</t>
        </is>
      </c>
      <c r="B22" s="6" t="inlineStr">
        <is>
          <t>생산 불가</t>
        </is>
      </c>
      <c r="C22" s="6" t="inlineStr">
        <is>
          <t>Cut(sharp)+Flame(heat)</t>
        </is>
      </c>
      <c r="D22" s="7" t="n">
        <v>21</v>
      </c>
      <c r="E22" s="7">
        <f>ROUND(D22*Parameters!$B$2*IF(AND(B22="stuff",OR(ISNUMBER(SEARCH("(sharp)",C22)),ISNUMBER(SEARCH("(heat)",C22)))),Edit_Values!$B$2,IF(AND(B22="stuff",ISNUMBER(SEARCH("(blunt)",C22))),Edit_Values!$B$4,1))*Parameters!$B$7,2)</f>
        <v/>
      </c>
      <c r="F22" s="7" t="n">
        <v>2.6</v>
      </c>
      <c r="G22" s="7">
        <f>ROUND((D22*IF(AND(B22="stuff",ISNUMBER(SEARCH("(sharp)",C22))),Parameters!$B$2*Parameters!$B$3,IF(AND(B22="stuff",ISNUMBER(SEARCH("(blunt)",C22))),Parameters!$B$2*Parameters!$B$5,Parameters!$B$2)))/(F22*IF(AND(B22="stuff",OR(ISNUMBER(SEARCH("(sharp)",C22)),ISNUMBER(SEARCH("(heat)",C22)))),Parameters!$B$4,IF(AND(B22="stuff",ISNUMBER(SEARCH("(blunt)",C22))),Parameters!$B$6,1))),2)</f>
        <v/>
      </c>
    </row>
    <row r="23">
      <c r="A23" s="6" t="inlineStr">
        <is>
          <t>MastodonTusk</t>
        </is>
      </c>
      <c r="B23" s="6" t="inlineStr">
        <is>
          <t>생산 불가</t>
        </is>
      </c>
      <c r="C23" s="6" t="inlineStr">
        <is>
          <t>Scratch(sharp); Stab(sharp)</t>
        </is>
      </c>
      <c r="D23" s="7" t="n">
        <v>20</v>
      </c>
      <c r="E23" s="7">
        <f>ROUND(D23*Parameters!$B$2*IF(AND(B23="stuff",OR(ISNUMBER(SEARCH("(sharp)",C23)),ISNUMBER(SEARCH("(heat)",C23)))),Edit_Values!$B$2,IF(AND(B23="stuff",ISNUMBER(SEARCH("(blunt)",C23))),Edit_Values!$B$4,1))*Parameters!$B$7,2)</f>
        <v/>
      </c>
      <c r="F23" s="7" t="n">
        <v>2.8</v>
      </c>
      <c r="G23" s="7">
        <f>ROUND((D23*IF(AND(B23="stuff",ISNUMBER(SEARCH("(sharp)",C23))),Parameters!$B$2*Parameters!$B$3,IF(AND(B23="stuff",ISNUMBER(SEARCH("(blunt)",C23))),Parameters!$B$2*Parameters!$B$5,Parameters!$B$2)))/(F23*IF(AND(B23="stuff",OR(ISNUMBER(SEARCH("(sharp)",C23)),ISNUMBER(SEARCH("(heat)",C23)))),Parameters!$B$4,IF(AND(B23="stuff",ISNUMBER(SEARCH("(blunt)",C23))),Parameters!$B$6,1))),2)</f>
        <v/>
      </c>
    </row>
    <row r="24">
      <c r="A24" s="6" t="inlineStr">
        <is>
          <t>AlphaThrumboHorn</t>
        </is>
      </c>
      <c r="B24" s="6" t="inlineStr">
        <is>
          <t>생산 불가</t>
        </is>
      </c>
      <c r="C24" s="6" t="inlineStr">
        <is>
          <t>Scratch(sharp); Stab(sharp)</t>
        </is>
      </c>
      <c r="D24" s="7" t="n">
        <v>32</v>
      </c>
      <c r="E24" s="7">
        <f>ROUND(D24*Parameters!$B$2*IF(AND(B24="stuff",OR(ISNUMBER(SEARCH("(sharp)",C24)),ISNUMBER(SEARCH("(heat)",C24)))),Edit_Values!$B$2,IF(AND(B24="stuff",ISNUMBER(SEARCH("(blunt)",C24))),Edit_Values!$B$4,1))*Parameters!$B$7,2)</f>
        <v/>
      </c>
      <c r="F24" s="7" t="n">
        <v>1.6</v>
      </c>
      <c r="G24" s="7">
        <f>ROUND((D24*IF(AND(B24="stuff",ISNUMBER(SEARCH("(sharp)",C24))),Parameters!$B$2*Parameters!$B$3,IF(AND(B24="stuff",ISNUMBER(SEARCH("(blunt)",C24))),Parameters!$B$2*Parameters!$B$5,Parameters!$B$2)))/(F24*IF(AND(B24="stuff",OR(ISNUMBER(SEARCH("(sharp)",C24)),ISNUMBER(SEARCH("(heat)",C24)))),Parameters!$B$4,IF(AND(B24="stuff",ISNUMBER(SEARCH("(blunt)",C24))),Parameters!$B$6,1))),2)</f>
        <v/>
      </c>
    </row>
    <row r="25">
      <c r="A25" s="6" t="inlineStr">
        <is>
          <t>RK_MagicWand</t>
        </is>
      </c>
      <c r="B25" s="6" t="inlineStr">
        <is>
          <t>Fixed Cost</t>
        </is>
      </c>
      <c r="C25" s="6" t="inlineStr">
        <is>
          <t>RK_ToolCapacity_MeleeExplosion(sharp)</t>
        </is>
      </c>
      <c r="D25" s="7" t="n">
        <v>5</v>
      </c>
      <c r="E25" s="7" t="n">
        <v>0.58</v>
      </c>
      <c r="F25" s="7" t="n">
        <v>1.5</v>
      </c>
      <c r="G25" s="7">
        <f>ROUND((D25*IF(AND(B25="stuff",ISNUMBER(SEARCH("(sharp)",C25))),Parameters!$B$2*Parameters!$B$3,IF(AND(B25="stuff",ISNUMBER(SEARCH("(blunt)",C25))),Parameters!$B$2*Parameters!$B$5,Parameters!$B$2)))/(F25*IF(AND(B25="stuff",OR(ISNUMBER(SEARCH("(sharp)",C25)),ISNUMBER(SEARCH("(heat)",C25)))),Parameters!$B$4,IF(AND(B25="stuff",ISNUMBER(SEARCH("(blunt)",C25))),Parameters!$B$6,1))),2)</f>
        <v/>
      </c>
    </row>
    <row r="26">
      <c r="A26" s="6" t="inlineStr">
        <is>
          <t>RK_MagicWand</t>
        </is>
      </c>
      <c r="B26" s="6" t="inlineStr">
        <is>
          <t>Fixed Cost</t>
        </is>
      </c>
      <c r="C26" s="6" t="inlineStr">
        <is>
          <t>RK_ToolCapacity_MeleeExplosion(sharp)</t>
        </is>
      </c>
      <c r="D26" s="7" t="n">
        <v>5</v>
      </c>
      <c r="E26" s="7" t="n">
        <v>0.58</v>
      </c>
      <c r="F26" s="7" t="n">
        <v>1.5</v>
      </c>
      <c r="G26" s="7">
        <f>ROUND((D26*IF(AND(B26="stuff",ISNUMBER(SEARCH("(sharp)",C26))),Parameters!$B$2*Parameters!$B$3,IF(AND(B26="stuff",ISNUMBER(SEARCH("(blunt)",C26))),Parameters!$B$2*Parameters!$B$5,Parameters!$B$2)))/(F26*IF(AND(B26="stuff",OR(ISNUMBER(SEARCH("(sharp)",C26)),ISNUMBER(SEARCH("(heat)",C26)))),Parameters!$B$4,IF(AND(B26="stuff",ISNUMBER(SEARCH("(blunt)",C26))),Parameters!$B$6,1))),2)</f>
        <v/>
      </c>
    </row>
    <row r="27">
      <c r="A27" s="6" t="inlineStr">
        <is>
          <t>RK_Weapon_Gunlance</t>
        </is>
      </c>
      <c r="B27" s="6" t="inlineStr">
        <is>
          <t>stuff</t>
        </is>
      </c>
      <c r="C27" s="6" t="inlineStr">
        <is>
          <t>Stab(sharp)</t>
        </is>
      </c>
      <c r="D27" s="7" t="n">
        <v>20</v>
      </c>
      <c r="E27" s="7">
        <f>ROUND(D27*Parameters!$B$2*IF(AND(B27="stuff",OR(ISNUMBER(SEARCH("(sharp)",C27)),ISNUMBER(SEARCH("(heat)",C27)))),Edit_Values!$B$2,IF(AND(B27="stuff",ISNUMBER(SEARCH("(blunt)",C27))),Edit_Values!$B$4,1))*Parameters!$B$7,2)</f>
        <v/>
      </c>
      <c r="F27" s="7" t="n">
        <v>3</v>
      </c>
      <c r="G27" s="7">
        <f>ROUND((D27*IF(AND(B27="stuff",ISNUMBER(SEARCH("(sharp)",C27))),Parameters!$B$2*Parameters!$B$3,IF(AND(B27="stuff",ISNUMBER(SEARCH("(blunt)",C27))),Parameters!$B$2*Parameters!$B$5,Parameters!$B$2)))/(F27*IF(AND(B27="stuff",OR(ISNUMBER(SEARCH("(sharp)",C27)),ISNUMBER(SEARCH("(heat)",C27)))),Parameters!$B$4,IF(AND(B27="stuff",ISNUMBER(SEARCH("(blunt)",C27))),Parameters!$B$6,1))),2)</f>
        <v/>
      </c>
    </row>
    <row r="28">
      <c r="A28" s="6" t="inlineStr">
        <is>
          <t>RK_Weapon_Gunlance</t>
        </is>
      </c>
      <c r="B28" s="6" t="inlineStr">
        <is>
          <t>stuff</t>
        </is>
      </c>
      <c r="C28" s="6" t="inlineStr">
        <is>
          <t>GunlanceShell_Normal(sharp)</t>
        </is>
      </c>
      <c r="D28" s="7" t="n">
        <v>25</v>
      </c>
      <c r="E28" s="7">
        <f>ROUND(D28*Parameters!$B$2*IF(AND(B28="stuff",OR(ISNUMBER(SEARCH("(sharp)",C28)),ISNUMBER(SEARCH("(heat)",C28)))),Edit_Values!$B$2,IF(AND(B28="stuff",ISNUMBER(SEARCH("(blunt)",C28))),Edit_Values!$B$4,1))*Parameters!$B$7,2)</f>
        <v/>
      </c>
      <c r="F28" s="7" t="n">
        <v>3</v>
      </c>
      <c r="G28" s="7">
        <f>ROUND((D28*IF(AND(B28="stuff",ISNUMBER(SEARCH("(sharp)",C28))),Parameters!$B$2*Parameters!$B$3,IF(AND(B28="stuff",ISNUMBER(SEARCH("(blunt)",C28))),Parameters!$B$2*Parameters!$B$5,Parameters!$B$2)))/(F28*IF(AND(B28="stuff",OR(ISNUMBER(SEARCH("(sharp)",C28)),ISNUMBER(SEARCH("(heat)",C28)))),Parameters!$B$4,IF(AND(B28="stuff",ISNUMBER(SEARCH("(blunt)",C28))),Parameters!$B$6,1))),2)</f>
        <v/>
      </c>
    </row>
    <row r="29">
      <c r="A29" s="6" t="inlineStr">
        <is>
          <t>RK_Weapon_ProtoChainSword</t>
        </is>
      </c>
      <c r="B29" s="6" t="inlineStr">
        <is>
          <t>Fixed Cost</t>
        </is>
      </c>
      <c r="C29" s="6" t="inlineStr">
        <is>
          <t>RK_ToolCapacity_ChainSword(sharp)</t>
        </is>
      </c>
      <c r="D29" s="7" t="n">
        <v>20</v>
      </c>
      <c r="E29" s="7" t="n">
        <v>1.15</v>
      </c>
      <c r="F29" s="7" t="n">
        <v>2</v>
      </c>
      <c r="G29" s="7">
        <f>ROUND((D29*IF(AND(B29="stuff",ISNUMBER(SEARCH("(sharp)",C29))),Parameters!$B$2*Parameters!$B$3,IF(AND(B29="stuff",ISNUMBER(SEARCH("(blunt)",C29))),Parameters!$B$2*Parameters!$B$5,Parameters!$B$2)))/(F29*IF(AND(B29="stuff",OR(ISNUMBER(SEARCH("(sharp)",C29)),ISNUMBER(SEARCH("(heat)",C29)))),Parameters!$B$4,IF(AND(B29="stuff",ISNUMBER(SEARCH("(blunt)",C29))),Parameters!$B$6,1))),2)</f>
        <v/>
      </c>
    </row>
    <row r="30">
      <c r="A30" s="6" t="inlineStr">
        <is>
          <t>RK_Weapon_ProtoChainSword</t>
        </is>
      </c>
      <c r="B30" s="6" t="inlineStr">
        <is>
          <t>Fixed Cost</t>
        </is>
      </c>
      <c r="C30" s="6" t="inlineStr">
        <is>
          <t>RK_ToolCapacity_ChainSword(sharp)</t>
        </is>
      </c>
      <c r="D30" s="7" t="n">
        <v>20</v>
      </c>
      <c r="E30" s="7" t="n">
        <v>1.15</v>
      </c>
      <c r="F30" s="7" t="n">
        <v>2</v>
      </c>
      <c r="G30" s="7">
        <f>ROUND((D30*IF(AND(B30="stuff",ISNUMBER(SEARCH("(sharp)",C30))),Parameters!$B$2*Parameters!$B$3,IF(AND(B30="stuff",ISNUMBER(SEARCH("(blunt)",C30))),Parameters!$B$2*Parameters!$B$5,Parameters!$B$2)))/(F30*IF(AND(B30="stuff",OR(ISNUMBER(SEARCH("(sharp)",C30)),ISNUMBER(SEARCH("(heat)",C30)))),Parameters!$B$4,IF(AND(B30="stuff",ISNUMBER(SEARCH("(blunt)",C30))),Parameters!$B$6,1))),2)</f>
        <v/>
      </c>
    </row>
    <row r="31">
      <c r="A31" s="6" t="inlineStr">
        <is>
          <t>RK_Weapon_ProtoFlameChainSword</t>
        </is>
      </c>
      <c r="B31" s="6" t="inlineStr">
        <is>
          <t>Fixed Cost</t>
        </is>
      </c>
      <c r="C31" s="6" t="inlineStr">
        <is>
          <t>RK_ToolCapacity_ChainSword(sharp)+Burn(heat)</t>
        </is>
      </c>
      <c r="D31" s="7" t="n">
        <v>20</v>
      </c>
      <c r="E31" s="7" t="n">
        <v>1.15</v>
      </c>
      <c r="F31" s="7" t="n">
        <v>2</v>
      </c>
      <c r="G31" s="7">
        <f>ROUND((D31*IF(AND(B31="stuff",ISNUMBER(SEARCH("(sharp)",C31))),Parameters!$B$2*Parameters!$B$3,IF(AND(B31="stuff",ISNUMBER(SEARCH("(blunt)",C31))),Parameters!$B$2*Parameters!$B$5,Parameters!$B$2)))/(F31*IF(AND(B31="stuff",OR(ISNUMBER(SEARCH("(sharp)",C31)),ISNUMBER(SEARCH("(heat)",C31)))),Parameters!$B$4,IF(AND(B31="stuff",ISNUMBER(SEARCH("(blunt)",C31))),Parameters!$B$6,1))),2)</f>
        <v/>
      </c>
    </row>
    <row r="32">
      <c r="A32" s="6" t="inlineStr">
        <is>
          <t>RK_Weapon_ProtoFlameChainSword</t>
        </is>
      </c>
      <c r="B32" s="6" t="inlineStr">
        <is>
          <t>Fixed Cost</t>
        </is>
      </c>
      <c r="C32" s="6" t="inlineStr">
        <is>
          <t>RK_ToolCapacity_ChainSword(sharp)+Burn(heat)</t>
        </is>
      </c>
      <c r="D32" s="7" t="n">
        <v>20</v>
      </c>
      <c r="E32" s="7" t="n">
        <v>1.15</v>
      </c>
      <c r="F32" s="7" t="n">
        <v>2</v>
      </c>
      <c r="G32" s="7">
        <f>ROUND((D32*IF(AND(B32="stuff",ISNUMBER(SEARCH("(sharp)",C32))),Parameters!$B$2*Parameters!$B$3,IF(AND(B32="stuff",ISNUMBER(SEARCH("(blunt)",C32))),Parameters!$B$2*Parameters!$B$5,Parameters!$B$2)))/(F32*IF(AND(B32="stuff",OR(ISNUMBER(SEARCH("(sharp)",C32)),ISNUMBER(SEARCH("(heat)",C32)))),Parameters!$B$4,IF(AND(B32="stuff",ISNUMBER(SEARCH("(blunt)",C32))),Parameters!$B$6,1))),2)</f>
        <v/>
      </c>
    </row>
    <row r="33">
      <c r="A33" s="6" t="inlineStr">
        <is>
          <t>RK_Dagger</t>
        </is>
      </c>
      <c r="B33" s="6" t="inlineStr">
        <is>
          <t>stuff</t>
        </is>
      </c>
      <c r="C33" s="6" t="inlineStr">
        <is>
          <t>Stab(sharp)</t>
        </is>
      </c>
      <c r="D33" s="7" t="n">
        <v>14</v>
      </c>
      <c r="E33" s="7">
        <f>ROUND(D33*Parameters!$B$2*IF(AND(B33="stuff",OR(ISNUMBER(SEARCH("(sharp)",C33)),ISNUMBER(SEARCH("(heat)",C33)))),Edit_Values!$B$2,IF(AND(B33="stuff",ISNUMBER(SEARCH("(blunt)",C33))),Edit_Values!$B$4,1))*Parameters!$B$7,2)</f>
        <v/>
      </c>
      <c r="F33" s="7" t="n">
        <v>1.5</v>
      </c>
      <c r="G33" s="7">
        <f>ROUND((D33*IF(AND(B33="stuff",ISNUMBER(SEARCH("(sharp)",C33))),Parameters!$B$2*Parameters!$B$3,IF(AND(B33="stuff",ISNUMBER(SEARCH("(blunt)",C33))),Parameters!$B$2*Parameters!$B$5,Parameters!$B$2)))/(F33*IF(AND(B33="stuff",OR(ISNUMBER(SEARCH("(sharp)",C33)),ISNUMBER(SEARCH("(heat)",C33)))),Parameters!$B$4,IF(AND(B33="stuff",ISNUMBER(SEARCH("(blunt)",C33))),Parameters!$B$6,1))),2)</f>
        <v/>
      </c>
    </row>
    <row r="34">
      <c r="A34" s="6" t="inlineStr">
        <is>
          <t>RK_Dagger</t>
        </is>
      </c>
      <c r="B34" s="6" t="inlineStr">
        <is>
          <t>stuff</t>
        </is>
      </c>
      <c r="C34" s="6" t="inlineStr">
        <is>
          <t>Cut(sharp)+Stun(sharp)+Cut(sharp)</t>
        </is>
      </c>
      <c r="D34" s="7" t="n">
        <v>12</v>
      </c>
      <c r="E34" s="7">
        <f>ROUND(D34*Parameters!$B$2*IF(AND(B34="stuff",OR(ISNUMBER(SEARCH("(sharp)",C34)),ISNUMBER(SEARCH("(heat)",C34)))),Edit_Values!$B$2,IF(AND(B34="stuff",ISNUMBER(SEARCH("(blunt)",C34))),Edit_Values!$B$4,1))*Parameters!$B$7,2)</f>
        <v/>
      </c>
      <c r="F34" s="7" t="n">
        <v>1.5</v>
      </c>
      <c r="G34" s="7">
        <f>ROUND((D34*IF(AND(B34="stuff",ISNUMBER(SEARCH("(sharp)",C34))),Parameters!$B$2*Parameters!$B$3,IF(AND(B34="stuff",ISNUMBER(SEARCH("(blunt)",C34))),Parameters!$B$2*Parameters!$B$5,Parameters!$B$2)))/(F34*IF(AND(B34="stuff",OR(ISNUMBER(SEARCH("(sharp)",C34)),ISNUMBER(SEARCH("(heat)",C34)))),Parameters!$B$4,IF(AND(B34="stuff",ISNUMBER(SEARCH("(blunt)",C34))),Parameters!$B$6,1))),2)</f>
        <v/>
      </c>
    </row>
    <row r="35">
      <c r="A35" s="6" t="inlineStr">
        <is>
          <t>RK_OneHanded</t>
        </is>
      </c>
      <c r="B35" s="6" t="inlineStr">
        <is>
          <t>stuff</t>
        </is>
      </c>
      <c r="C35" s="6" t="inlineStr">
        <is>
          <t>Stab(sharp)</t>
        </is>
      </c>
      <c r="D35" s="7" t="n">
        <v>21</v>
      </c>
      <c r="E35" s="7">
        <f>ROUND(D35*Parameters!$B$2*IF(AND(B35="stuff",OR(ISNUMBER(SEARCH("(sharp)",C35)),ISNUMBER(SEARCH("(heat)",C35)))),Edit_Values!$B$2,IF(AND(B35="stuff",ISNUMBER(SEARCH("(blunt)",C35))),Edit_Values!$B$4,1))*Parameters!$B$7,2)</f>
        <v/>
      </c>
      <c r="F35" s="7" t="n">
        <v>2.4</v>
      </c>
      <c r="G35" s="7">
        <f>ROUND((D35*IF(AND(B35="stuff",ISNUMBER(SEARCH("(sharp)",C35))),Parameters!$B$2*Parameters!$B$3,IF(AND(B35="stuff",ISNUMBER(SEARCH("(blunt)",C35))),Parameters!$B$2*Parameters!$B$5,Parameters!$B$2)))/(F35*IF(AND(B35="stuff",OR(ISNUMBER(SEARCH("(sharp)",C35)),ISNUMBER(SEARCH("(heat)",C35)))),Parameters!$B$4,IF(AND(B35="stuff",ISNUMBER(SEARCH("(blunt)",C35))),Parameters!$B$6,1))),2)</f>
        <v/>
      </c>
    </row>
    <row r="36">
      <c r="A36" s="6" t="inlineStr">
        <is>
          <t>RK_OneHanded</t>
        </is>
      </c>
      <c r="B36" s="6" t="inlineStr">
        <is>
          <t>stuff</t>
        </is>
      </c>
      <c r="C36" s="6" t="inlineStr">
        <is>
          <t>Cut(sharp)</t>
        </is>
      </c>
      <c r="D36" s="7" t="n">
        <v>21</v>
      </c>
      <c r="E36" s="7">
        <f>ROUND(D36*Parameters!$B$2*IF(AND(B36="stuff",OR(ISNUMBER(SEARCH("(sharp)",C36)),ISNUMBER(SEARCH("(heat)",C36)))),Edit_Values!$B$2,IF(AND(B36="stuff",ISNUMBER(SEARCH("(blunt)",C36))),Edit_Values!$B$4,1))*Parameters!$B$7,2)</f>
        <v/>
      </c>
      <c r="F36" s="7" t="n">
        <v>2.4</v>
      </c>
      <c r="G36" s="7">
        <f>ROUND((D36*IF(AND(B36="stuff",ISNUMBER(SEARCH("(sharp)",C36))),Parameters!$B$2*Parameters!$B$3,IF(AND(B36="stuff",ISNUMBER(SEARCH("(blunt)",C36))),Parameters!$B$2*Parameters!$B$5,Parameters!$B$2)))/(F36*IF(AND(B36="stuff",OR(ISNUMBER(SEARCH("(sharp)",C36)),ISNUMBER(SEARCH("(heat)",C36)))),Parameters!$B$4,IF(AND(B36="stuff",ISNUMBER(SEARCH("(blunt)",C36))),Parameters!$B$6,1))),2)</f>
        <v/>
      </c>
    </row>
    <row r="37">
      <c r="A37" s="6" t="inlineStr">
        <is>
          <t>RK_LightLance</t>
        </is>
      </c>
      <c r="B37" s="6" t="inlineStr">
        <is>
          <t>Fixed Cost</t>
        </is>
      </c>
      <c r="C37" s="6" t="inlineStr">
        <is>
          <t>Stab(sharp)</t>
        </is>
      </c>
      <c r="D37" s="7" t="n">
        <v>27</v>
      </c>
      <c r="E37" s="7">
        <f>ROUND(D37*Parameters!$B$2*IF(AND(B37="stuff",OR(ISNUMBER(SEARCH("(sharp)",C37)),ISNUMBER(SEARCH("(heat)",C37)))),Edit_Values!$B$2,IF(AND(B37="stuff",ISNUMBER(SEARCH("(blunt)",C37))),Edit_Values!$B$4,1))*Parameters!$B$7,2)</f>
        <v/>
      </c>
      <c r="F37" s="7" t="n">
        <v>2.5</v>
      </c>
      <c r="G37" s="7">
        <f>ROUND((D37*IF(AND(B37="stuff",ISNUMBER(SEARCH("(sharp)",C37))),Parameters!$B$2*Parameters!$B$3,IF(AND(B37="stuff",ISNUMBER(SEARCH("(blunt)",C37))),Parameters!$B$2*Parameters!$B$5,Parameters!$B$2)))/(F37*IF(AND(B37="stuff",OR(ISNUMBER(SEARCH("(sharp)",C37)),ISNUMBER(SEARCH("(heat)",C37)))),Parameters!$B$4,IF(AND(B37="stuff",ISNUMBER(SEARCH("(blunt)",C37))),Parameters!$B$6,1))),2)</f>
        <v/>
      </c>
    </row>
    <row r="38">
      <c r="A38" s="6" t="inlineStr">
        <is>
          <t>RK_LightLance</t>
        </is>
      </c>
      <c r="B38" s="6" t="inlineStr">
        <is>
          <t>Fixed Cost</t>
        </is>
      </c>
      <c r="C38" s="6" t="inlineStr">
        <is>
          <t>Cut(sharp)</t>
        </is>
      </c>
      <c r="D38" s="7" t="n">
        <v>21</v>
      </c>
      <c r="E38" s="7">
        <f>ROUND(D38*Parameters!$B$2*IF(AND(B38="stuff",OR(ISNUMBER(SEARCH("(sharp)",C38)),ISNUMBER(SEARCH("(heat)",C38)))),Edit_Values!$B$2,IF(AND(B38="stuff",ISNUMBER(SEARCH("(blunt)",C38))),Edit_Values!$B$4,1))*Parameters!$B$7,2)</f>
        <v/>
      </c>
      <c r="F38" s="7" t="n">
        <v>2.8</v>
      </c>
      <c r="G38" s="7">
        <f>ROUND((D38*IF(AND(B38="stuff",ISNUMBER(SEARCH("(sharp)",C38))),Parameters!$B$2*Parameters!$B$3,IF(AND(B38="stuff",ISNUMBER(SEARCH("(blunt)",C38))),Parameters!$B$2*Parameters!$B$5,Parameters!$B$2)))/(F38*IF(AND(B38="stuff",OR(ISNUMBER(SEARCH("(sharp)",C38)),ISNUMBER(SEARCH("(heat)",C38)))),Parameters!$B$4,IF(AND(B38="stuff",ISNUMBER(SEARCH("(blunt)",C38))),Parameters!$B$6,1))),2)</f>
        <v/>
      </c>
    </row>
    <row r="39">
      <c r="A39" s="6" t="inlineStr">
        <is>
          <t>RK_TwoHanded</t>
        </is>
      </c>
      <c r="B39" s="6" t="inlineStr">
        <is>
          <t>stuff</t>
        </is>
      </c>
      <c r="C39" s="6" t="inlineStr">
        <is>
          <t>Stab(sharp)</t>
        </is>
      </c>
      <c r="D39" s="7" t="n">
        <v>24</v>
      </c>
      <c r="E39" s="7">
        <f>ROUND(D39*Parameters!$B$2*IF(AND(B39="stuff",OR(ISNUMBER(SEARCH("(sharp)",C39)),ISNUMBER(SEARCH("(heat)",C39)))),Edit_Values!$B$2,IF(AND(B39="stuff",ISNUMBER(SEARCH("(blunt)",C39))),Edit_Values!$B$4,1))*Parameters!$B$7,2)</f>
        <v/>
      </c>
      <c r="F39" s="7" t="n">
        <v>2.5</v>
      </c>
      <c r="G39" s="7">
        <f>ROUND((D39*IF(AND(B39="stuff",ISNUMBER(SEARCH("(sharp)",C39))),Parameters!$B$2*Parameters!$B$3,IF(AND(B39="stuff",ISNUMBER(SEARCH("(blunt)",C39))),Parameters!$B$2*Parameters!$B$5,Parameters!$B$2)))/(F39*IF(AND(B39="stuff",OR(ISNUMBER(SEARCH("(sharp)",C39)),ISNUMBER(SEARCH("(heat)",C39)))),Parameters!$B$4,IF(AND(B39="stuff",ISNUMBER(SEARCH("(blunt)",C39))),Parameters!$B$6,1))),2)</f>
        <v/>
      </c>
    </row>
    <row r="40">
      <c r="A40" s="6" t="inlineStr">
        <is>
          <t>RK_TwoHanded</t>
        </is>
      </c>
      <c r="B40" s="6" t="inlineStr">
        <is>
          <t>stuff</t>
        </is>
      </c>
      <c r="C40" s="6" t="inlineStr">
        <is>
          <t>Cut(sharp)</t>
        </is>
      </c>
      <c r="D40" s="7" t="n">
        <v>27</v>
      </c>
      <c r="E40" s="7">
        <f>ROUND(D40*Parameters!$B$2*IF(AND(B40="stuff",OR(ISNUMBER(SEARCH("(sharp)",C40)),ISNUMBER(SEARCH("(heat)",C40)))),Edit_Values!$B$2,IF(AND(B40="stuff",ISNUMBER(SEARCH("(blunt)",C40))),Edit_Values!$B$4,1))*Parameters!$B$7,2)</f>
        <v/>
      </c>
      <c r="F40" s="7" t="n">
        <v>2.8</v>
      </c>
      <c r="G40" s="7">
        <f>ROUND((D40*IF(AND(B40="stuff",ISNUMBER(SEARCH("(sharp)",C40))),Parameters!$B$2*Parameters!$B$3,IF(AND(B40="stuff",ISNUMBER(SEARCH("(blunt)",C40))),Parameters!$B$2*Parameters!$B$5,Parameters!$B$2)))/(F40*IF(AND(B40="stuff",OR(ISNUMBER(SEARCH("(sharp)",C40)),ISNUMBER(SEARCH("(heat)",C40)))),Parameters!$B$4,IF(AND(B40="stuff",ISNUMBER(SEARCH("(blunt)",C40))),Parameters!$B$6,1))),2)</f>
        <v/>
      </c>
    </row>
    <row r="41">
      <c r="A41" s="6" t="inlineStr">
        <is>
          <t>RK_HeavyLance</t>
        </is>
      </c>
      <c r="B41" s="6" t="inlineStr">
        <is>
          <t>stuff</t>
        </is>
      </c>
      <c r="C41" s="6" t="inlineStr">
        <is>
          <t>Stab(sharp)</t>
        </is>
      </c>
      <c r="D41" s="7" t="n">
        <v>32</v>
      </c>
      <c r="E41" s="7">
        <f>ROUND(D41*Parameters!$B$2*IF(AND(B41="stuff",OR(ISNUMBER(SEARCH("(sharp)",C41)),ISNUMBER(SEARCH("(heat)",C41)))),Edit_Values!$B$2,IF(AND(B41="stuff",ISNUMBER(SEARCH("(blunt)",C41))),Edit_Values!$B$4,1))*Parameters!$B$7,2)</f>
        <v/>
      </c>
      <c r="F41" s="7" t="n">
        <v>3</v>
      </c>
      <c r="G41" s="7">
        <f>ROUND((D41*IF(AND(B41="stuff",ISNUMBER(SEARCH("(sharp)",C41))),Parameters!$B$2*Parameters!$B$3,IF(AND(B41="stuff",ISNUMBER(SEARCH("(blunt)",C41))),Parameters!$B$2*Parameters!$B$5,Parameters!$B$2)))/(F41*IF(AND(B41="stuff",OR(ISNUMBER(SEARCH("(sharp)",C41)),ISNUMBER(SEARCH("(heat)",C41)))),Parameters!$B$4,IF(AND(B41="stuff",ISNUMBER(SEARCH("(blunt)",C41))),Parameters!$B$6,1))),2)</f>
        <v/>
      </c>
    </row>
    <row r="42">
      <c r="A42" s="6" t="inlineStr">
        <is>
          <t>RK_HeavyLance</t>
        </is>
      </c>
      <c r="B42" s="6" t="inlineStr">
        <is>
          <t>stuff</t>
        </is>
      </c>
      <c r="C42" s="6" t="inlineStr">
        <is>
          <t>Cut(sharp)</t>
        </is>
      </c>
      <c r="D42" s="7" t="n">
        <v>27</v>
      </c>
      <c r="E42" s="7">
        <f>ROUND(D42*Parameters!$B$2*IF(AND(B42="stuff",OR(ISNUMBER(SEARCH("(sharp)",C42)),ISNUMBER(SEARCH("(heat)",C42)))),Edit_Values!$B$2,IF(AND(B42="stuff",ISNUMBER(SEARCH("(blunt)",C42))),Edit_Values!$B$4,1))*Parameters!$B$7,2)</f>
        <v/>
      </c>
      <c r="F42" s="7" t="n">
        <v>3.4</v>
      </c>
      <c r="G42" s="7">
        <f>ROUND((D42*IF(AND(B42="stuff",ISNUMBER(SEARCH("(sharp)",C42))),Parameters!$B$2*Parameters!$B$3,IF(AND(B42="stuff",ISNUMBER(SEARCH("(blunt)",C42))),Parameters!$B$2*Parameters!$B$5,Parameters!$B$2)))/(F42*IF(AND(B42="stuff",OR(ISNUMBER(SEARCH("(sharp)",C42)),ISNUMBER(SEARCH("(heat)",C42)))),Parameters!$B$4,IF(AND(B42="stuff",ISNUMBER(SEARCH("(blunt)",C42))),Parameters!$B$6,1))),2)</f>
        <v/>
      </c>
    </row>
    <row r="43">
      <c r="A43" s="6" t="inlineStr">
        <is>
          <t>RK_LongSword</t>
        </is>
      </c>
      <c r="B43" s="6" t="inlineStr">
        <is>
          <t>stuff</t>
        </is>
      </c>
      <c r="C43" s="6" t="inlineStr">
        <is>
          <t>Stab(sharp)</t>
        </is>
      </c>
      <c r="D43" s="7" t="n">
        <v>23</v>
      </c>
      <c r="E43" s="7">
        <f>ROUND(D43*Parameters!$B$2*IF(AND(B43="stuff",OR(ISNUMBER(SEARCH("(sharp)",C43)),ISNUMBER(SEARCH("(heat)",C43)))),Edit_Values!$B$2,IF(AND(B43="stuff",ISNUMBER(SEARCH("(blunt)",C43))),Edit_Values!$B$4,1))*Parameters!$B$7,2)</f>
        <v/>
      </c>
      <c r="F43" s="7" t="n">
        <v>2.1</v>
      </c>
      <c r="G43" s="7">
        <f>ROUND((D43*IF(AND(B43="stuff",ISNUMBER(SEARCH("(sharp)",C43))),Parameters!$B$2*Parameters!$B$3,IF(AND(B43="stuff",ISNUMBER(SEARCH("(blunt)",C43))),Parameters!$B$2*Parameters!$B$5,Parameters!$B$2)))/(F43*IF(AND(B43="stuff",OR(ISNUMBER(SEARCH("(sharp)",C43)),ISNUMBER(SEARCH("(heat)",C43)))),Parameters!$B$4,IF(AND(B43="stuff",ISNUMBER(SEARCH("(blunt)",C43))),Parameters!$B$6,1))),2)</f>
        <v/>
      </c>
    </row>
    <row r="44">
      <c r="A44" s="6" t="inlineStr">
        <is>
          <t>RK_LongSword</t>
        </is>
      </c>
      <c r="B44" s="6" t="inlineStr">
        <is>
          <t>stuff</t>
        </is>
      </c>
      <c r="C44" s="6" t="inlineStr">
        <is>
          <t>Cut(sharp)</t>
        </is>
      </c>
      <c r="D44" s="7" t="n">
        <v>23</v>
      </c>
      <c r="E44" s="7">
        <f>ROUND(D44*Parameters!$B$2*IF(AND(B44="stuff",OR(ISNUMBER(SEARCH("(sharp)",C44)),ISNUMBER(SEARCH("(heat)",C44)))),Edit_Values!$B$2,IF(AND(B44="stuff",ISNUMBER(SEARCH("(blunt)",C44))),Edit_Values!$B$4,1))*Parameters!$B$7,2)</f>
        <v/>
      </c>
      <c r="F44" s="7" t="n">
        <v>2.1</v>
      </c>
      <c r="G44" s="7">
        <f>ROUND((D44*IF(AND(B44="stuff",ISNUMBER(SEARCH("(sharp)",C44))),Parameters!$B$2*Parameters!$B$3,IF(AND(B44="stuff",ISNUMBER(SEARCH("(blunt)",C44))),Parameters!$B$2*Parameters!$B$5,Parameters!$B$2)))/(F44*IF(AND(B44="stuff",OR(ISNUMBER(SEARCH("(sharp)",C44)),ISNUMBER(SEARCH("(heat)",C44)))),Parameters!$B$4,IF(AND(B44="stuff",ISNUMBER(SEARCH("(blunt)",C44))),Parameters!$B$6,1))),2)</f>
        <v/>
      </c>
    </row>
    <row r="45">
      <c r="A45" s="6" t="inlineStr">
        <is>
          <t>RK_Spear</t>
        </is>
      </c>
      <c r="B45" s="6" t="inlineStr">
        <is>
          <t>stuff</t>
        </is>
      </c>
      <c r="C45" s="6" t="inlineStr">
        <is>
          <t>Stab(sharp)</t>
        </is>
      </c>
      <c r="D45" s="7" t="n">
        <v>11.5</v>
      </c>
      <c r="E45" s="7" t="n">
        <v>0.82</v>
      </c>
      <c r="F45" s="7" t="n">
        <v>1.3</v>
      </c>
      <c r="G45" s="7">
        <f>ROUND((D45*IF(AND(B45="stuff",ISNUMBER(SEARCH("(sharp)",C45))),Parameters!$B$2*Parameters!$B$3,IF(AND(B45="stuff",ISNUMBER(SEARCH("(blunt)",C45))),Parameters!$B$2*Parameters!$B$5,Parameters!$B$2)))/(F45*IF(AND(B45="stuff",OR(ISNUMBER(SEARCH("(sharp)",C45)),ISNUMBER(SEARCH("(heat)",C45)))),Parameters!$B$4,IF(AND(B45="stuff",ISNUMBER(SEARCH("(blunt)",C45))),Parameters!$B$6,1))),2)</f>
        <v/>
      </c>
    </row>
    <row r="46">
      <c r="A46" s="6" t="inlineStr">
        <is>
          <t>RK_Halberd</t>
        </is>
      </c>
      <c r="B46" s="6" t="inlineStr">
        <is>
          <t>stuff</t>
        </is>
      </c>
      <c r="C46" s="6" t="inlineStr">
        <is>
          <t>Stab(sharp)</t>
        </is>
      </c>
      <c r="D46" s="7" t="n">
        <v>15</v>
      </c>
      <c r="E46" s="7">
        <f>ROUND(D46*Parameters!$B$2*IF(AND(B46="stuff",OR(ISNUMBER(SEARCH("(sharp)",C46)),ISNUMBER(SEARCH("(heat)",C46)))),Edit_Values!$B$2,IF(AND(B46="stuff",ISNUMBER(SEARCH("(blunt)",C46))),Edit_Values!$B$4,1))*Parameters!$B$7,2)</f>
        <v/>
      </c>
      <c r="F46" s="7" t="n">
        <v>1.8</v>
      </c>
      <c r="G46" s="7">
        <f>ROUND((D46*IF(AND(B46="stuff",ISNUMBER(SEARCH("(sharp)",C46))),Parameters!$B$2*Parameters!$B$3,IF(AND(B46="stuff",ISNUMBER(SEARCH("(blunt)",C46))),Parameters!$B$2*Parameters!$B$5,Parameters!$B$2)))/(F46*IF(AND(B46="stuff",OR(ISNUMBER(SEARCH("(sharp)",C46)),ISNUMBER(SEARCH("(heat)",C46)))),Parameters!$B$4,IF(AND(B46="stuff",ISNUMBER(SEARCH("(blunt)",C46))),Parameters!$B$6,1))),2)</f>
        <v/>
      </c>
    </row>
    <row r="47">
      <c r="A47" s="6" t="inlineStr">
        <is>
          <t>RK_Halberd</t>
        </is>
      </c>
      <c r="B47" s="6" t="inlineStr">
        <is>
          <t>stuff</t>
        </is>
      </c>
      <c r="C47" s="6" t="inlineStr">
        <is>
          <t>RK_HalberdCleave(sharp)</t>
        </is>
      </c>
      <c r="D47" s="7" t="n">
        <v>23</v>
      </c>
      <c r="E47" s="7" t="n">
        <v>1.07</v>
      </c>
      <c r="F47" s="7" t="n">
        <v>2.4</v>
      </c>
      <c r="G47" s="7">
        <f>ROUND((D47*IF(AND(B47="stuff",ISNUMBER(SEARCH("(sharp)",C47))),Parameters!$B$2*Parameters!$B$3,IF(AND(B47="stuff",ISNUMBER(SEARCH("(blunt)",C47))),Parameters!$B$2*Parameters!$B$5,Parameters!$B$2)))/(F47*IF(AND(B47="stuff",OR(ISNUMBER(SEARCH("(sharp)",C47)),ISNUMBER(SEARCH("(heat)",C47)))),Parameters!$B$4,IF(AND(B47="stuff",ISNUMBER(SEARCH("(blunt)",C47))),Parameters!$B$6,1))),2)</f>
        <v/>
      </c>
    </row>
    <row r="48">
      <c r="A48" s="6" t="inlineStr">
        <is>
          <t>RK_Axe</t>
        </is>
      </c>
      <c r="B48" s="6" t="inlineStr">
        <is>
          <t>stuff</t>
        </is>
      </c>
      <c r="C48" s="6" t="inlineStr">
        <is>
          <t>Cut(sharp)</t>
        </is>
      </c>
      <c r="D48" s="7" t="n">
        <v>20</v>
      </c>
      <c r="E48" s="7">
        <f>ROUND(D48*Parameters!$B$2*IF(AND(B48="stuff",OR(ISNUMBER(SEARCH("(sharp)",C48)),ISNUMBER(SEARCH("(heat)",C48)))),Edit_Values!$B$2,IF(AND(B48="stuff",ISNUMBER(SEARCH("(blunt)",C48))),Edit_Values!$B$4,1))*Parameters!$B$7,2)</f>
        <v/>
      </c>
      <c r="F48" s="7" t="n">
        <v>2.5</v>
      </c>
      <c r="G48" s="7">
        <f>ROUND((D48*IF(AND(B48="stuff",ISNUMBER(SEARCH("(sharp)",C48))),Parameters!$B$2*Parameters!$B$3,IF(AND(B48="stuff",ISNUMBER(SEARCH("(blunt)",C48))),Parameters!$B$2*Parameters!$B$5,Parameters!$B$2)))/(F48*IF(AND(B48="stuff",OR(ISNUMBER(SEARCH("(sharp)",C48)),ISNUMBER(SEARCH("(heat)",C48)))),Parameters!$B$4,IF(AND(B48="stuff",ISNUMBER(SEARCH("(blunt)",C48))),Parameters!$B$6,1))),2)</f>
        <v/>
      </c>
    </row>
    <row r="49">
      <c r="A49" s="6" t="inlineStr">
        <is>
          <t>RK_Cleaver</t>
        </is>
      </c>
      <c r="B49" s="6" t="inlineStr">
        <is>
          <t>stuff</t>
        </is>
      </c>
      <c r="C49" s="6" t="inlineStr">
        <is>
          <t>Cut(sharp)</t>
        </is>
      </c>
      <c r="D49" s="7" t="n">
        <v>12</v>
      </c>
      <c r="E49" s="7">
        <f>ROUND(D49*Parameters!$B$2*IF(AND(B49="stuff",OR(ISNUMBER(SEARCH("(sharp)",C49)),ISNUMBER(SEARCH("(heat)",C49)))),Edit_Values!$B$2,IF(AND(B49="stuff",ISNUMBER(SEARCH("(blunt)",C49))),Edit_Values!$B$4,1))*Parameters!$B$7,2)</f>
        <v/>
      </c>
      <c r="F49" s="7" t="n">
        <v>1.8</v>
      </c>
      <c r="G49" s="7">
        <f>ROUND((D49*IF(AND(B49="stuff",ISNUMBER(SEARCH("(sharp)",C49))),Parameters!$B$2*Parameters!$B$3,IF(AND(B49="stuff",ISNUMBER(SEARCH("(blunt)",C49))),Parameters!$B$2*Parameters!$B$5,Parameters!$B$2)))/(F49*IF(AND(B49="stuff",OR(ISNUMBER(SEARCH("(sharp)",C49)),ISNUMBER(SEARCH("(heat)",C49)))),Parameters!$B$4,IF(AND(B49="stuff",ISNUMBER(SEARCH("(blunt)",C49))),Parameters!$B$6,1))),2)</f>
        <v/>
      </c>
    </row>
    <row r="50">
      <c r="A50" s="6" t="inlineStr">
        <is>
          <t>RK_Hockey</t>
        </is>
      </c>
      <c r="B50" s="6" t="inlineStr">
        <is>
          <t>stuff</t>
        </is>
      </c>
      <c r="C50" s="6" t="inlineStr">
        <is>
          <t>Stab(sharp)</t>
        </is>
      </c>
      <c r="D50" s="7" t="n">
        <v>17</v>
      </c>
      <c r="E50" s="7">
        <f>ROUND(D50*Parameters!$B$2*IF(AND(B50="stuff",OR(ISNUMBER(SEARCH("(sharp)",C50)),ISNUMBER(SEARCH("(heat)",C50)))),Edit_Values!$B$2,IF(AND(B50="stuff",ISNUMBER(SEARCH("(blunt)",C50))),Edit_Values!$B$4,1))*Parameters!$B$7,2)</f>
        <v/>
      </c>
      <c r="F50" s="7" t="n">
        <v>2.4</v>
      </c>
      <c r="G50" s="7">
        <f>ROUND((D50*IF(AND(B50="stuff",ISNUMBER(SEARCH("(sharp)",C50))),Parameters!$B$2*Parameters!$B$3,IF(AND(B50="stuff",ISNUMBER(SEARCH("(blunt)",C50))),Parameters!$B$2*Parameters!$B$5,Parameters!$B$2)))/(F50*IF(AND(B50="stuff",OR(ISNUMBER(SEARCH("(sharp)",C50)),ISNUMBER(SEARCH("(heat)",C50)))),Parameters!$B$4,IF(AND(B50="stuff",ISNUMBER(SEARCH("(blunt)",C50))),Parameters!$B$6,1))),2)</f>
        <v/>
      </c>
    </row>
    <row r="51">
      <c r="A51" s="6" t="inlineStr">
        <is>
          <t>RK_Hockey</t>
        </is>
      </c>
      <c r="B51" s="6" t="inlineStr">
        <is>
          <t>stuff</t>
        </is>
      </c>
      <c r="C51" s="6" t="inlineStr">
        <is>
          <t>Cut(sharp)</t>
        </is>
      </c>
      <c r="D51" s="7" t="n">
        <v>14</v>
      </c>
      <c r="E51" s="7">
        <f>ROUND(D51*Parameters!$B$2*IF(AND(B51="stuff",OR(ISNUMBER(SEARCH("(sharp)",C51)),ISNUMBER(SEARCH("(heat)",C51)))),Edit_Values!$B$2,IF(AND(B51="stuff",ISNUMBER(SEARCH("(blunt)",C51))),Edit_Values!$B$4,1))*Parameters!$B$7,2)</f>
        <v/>
      </c>
      <c r="F51" s="7" t="n">
        <v>2</v>
      </c>
      <c r="G51" s="7">
        <f>ROUND((D51*IF(AND(B51="stuff",ISNUMBER(SEARCH("(sharp)",C51))),Parameters!$B$2*Parameters!$B$3,IF(AND(B51="stuff",ISNUMBER(SEARCH("(blunt)",C51))),Parameters!$B$2*Parameters!$B$5,Parameters!$B$2)))/(F51*IF(AND(B51="stuff",OR(ISNUMBER(SEARCH("(sharp)",C51)),ISNUMBER(SEARCH("(heat)",C51)))),Parameters!$B$4,IF(AND(B51="stuff",ISNUMBER(SEARCH("(blunt)",C51))),Parameters!$B$6,1))),2)</f>
        <v/>
      </c>
    </row>
    <row r="52">
      <c r="A52" s="6" t="inlineStr">
        <is>
          <t>RK_Fork</t>
        </is>
      </c>
      <c r="B52" s="6" t="inlineStr">
        <is>
          <t>stuff</t>
        </is>
      </c>
      <c r="C52" s="6" t="inlineStr">
        <is>
          <t>Stab(sharp)</t>
        </is>
      </c>
      <c r="D52" s="7" t="n">
        <v>17</v>
      </c>
      <c r="E52" s="7">
        <f>ROUND(D52*Parameters!$B$2*IF(AND(B52="stuff",OR(ISNUMBER(SEARCH("(sharp)",C52)),ISNUMBER(SEARCH("(heat)",C52)))),Edit_Values!$B$2,IF(AND(B52="stuff",ISNUMBER(SEARCH("(blunt)",C52))),Edit_Values!$B$4,1))*Parameters!$B$7,2)</f>
        <v/>
      </c>
      <c r="F52" s="7" t="n">
        <v>2.4</v>
      </c>
      <c r="G52" s="7">
        <f>ROUND((D52*IF(AND(B52="stuff",ISNUMBER(SEARCH("(sharp)",C52))),Parameters!$B$2*Parameters!$B$3,IF(AND(B52="stuff",ISNUMBER(SEARCH("(blunt)",C52))),Parameters!$B$2*Parameters!$B$5,Parameters!$B$2)))/(F52*IF(AND(B52="stuff",OR(ISNUMBER(SEARCH("(sharp)",C52)),ISNUMBER(SEARCH("(heat)",C52)))),Parameters!$B$4,IF(AND(B52="stuff",ISNUMBER(SEARCH("(blunt)",C52))),Parameters!$B$6,1))),2)</f>
        <v/>
      </c>
    </row>
    <row r="53">
      <c r="A53" s="6" t="inlineStr">
        <is>
          <t>RK_Fork</t>
        </is>
      </c>
      <c r="B53" s="6" t="inlineStr">
        <is>
          <t>stuff</t>
        </is>
      </c>
      <c r="C53" s="6" t="inlineStr">
        <is>
          <t>Cut(sharp)</t>
        </is>
      </c>
      <c r="D53" s="7" t="n">
        <v>14</v>
      </c>
      <c r="E53" s="7">
        <f>ROUND(D53*Parameters!$B$2*IF(AND(B53="stuff",OR(ISNUMBER(SEARCH("(sharp)",C53)),ISNUMBER(SEARCH("(heat)",C53)))),Edit_Values!$B$2,IF(AND(B53="stuff",ISNUMBER(SEARCH("(blunt)",C53))),Edit_Values!$B$4,1))*Parameters!$B$7,2)</f>
        <v/>
      </c>
      <c r="F53" s="7" t="n">
        <v>2</v>
      </c>
      <c r="G53" s="7">
        <f>ROUND((D53*IF(AND(B53="stuff",ISNUMBER(SEARCH("(sharp)",C53))),Parameters!$B$2*Parameters!$B$3,IF(AND(B53="stuff",ISNUMBER(SEARCH("(blunt)",C53))),Parameters!$B$2*Parameters!$B$5,Parameters!$B$2)))/(F53*IF(AND(B53="stuff",OR(ISNUMBER(SEARCH("(sharp)",C53)),ISNUMBER(SEARCH("(heat)",C53)))),Parameters!$B$4,IF(AND(B53="stuff",ISNUMBER(SEARCH("(blunt)",C53))),Parameters!$B$6,1))),2)</f>
        <v/>
      </c>
    </row>
    <row r="54">
      <c r="A54" s="6" t="inlineStr">
        <is>
          <t>RK_Pickaxe</t>
        </is>
      </c>
      <c r="B54" s="6" t="inlineStr">
        <is>
          <t>stuff</t>
        </is>
      </c>
      <c r="C54" s="6" t="inlineStr">
        <is>
          <t>RK_ToolCapacity_PickaxeStab(sharp)+Crush(blunt)</t>
        </is>
      </c>
      <c r="D54" s="7" t="n">
        <v>10</v>
      </c>
      <c r="E54" s="7" t="n">
        <v>0.82</v>
      </c>
      <c r="F54" s="7" t="n">
        <v>3</v>
      </c>
      <c r="G54" s="7">
        <f>ROUND((D54*IF(AND(B54="stuff",ISNUMBER(SEARCH("(sharp)",C54))),Parameters!$B$2*Parameters!$B$3,IF(AND(B54="stuff",ISNUMBER(SEARCH("(blunt)",C54))),Parameters!$B$2*Parameters!$B$5,Parameters!$B$2)))/(F54*IF(AND(B54="stuff",OR(ISNUMBER(SEARCH("(sharp)",C54)),ISNUMBER(SEARCH("(heat)",C54)))),Parameters!$B$4,IF(AND(B54="stuff",ISNUMBER(SEARCH("(blunt)",C54))),Parameters!$B$6,1))),2)</f>
        <v/>
      </c>
    </row>
  </sheetData>
  <autoFilter ref="A2:G54"/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6"/>
  <sheetViews>
    <sheetView workbookViewId="0">
      <selection activeCell="A1" sqref="A1"/>
    </sheetView>
  </sheetViews>
  <sheetFormatPr baseColWidth="8" defaultRowHeight="15"/>
  <cols>
    <col width="35" customWidth="1" min="1" max="1"/>
    <col width="13" customWidth="1" min="2" max="2"/>
    <col width="28" customWidth="1" min="3" max="3"/>
    <col width="8" customWidth="1" min="4" max="4"/>
    <col width="40" customWidth="1" min="5" max="5"/>
    <col width="11" customWidth="1" min="6" max="6"/>
    <col width="40" customWidth="1" min="7" max="7"/>
  </cols>
  <sheetData>
    <row r="1">
      <c r="A1" s="4" t="inlineStr">
        <is>
          <t>참조: Edit_Values Slot2 (Uranium) - 클릭하여 계수 수정</t>
        </is>
      </c>
    </row>
    <row r="2">
      <c r="A2" s="5" t="inlineStr">
        <is>
          <t>defName</t>
        </is>
      </c>
      <c r="B2" s="5" t="inlineStr">
        <is>
          <t>생산</t>
        </is>
      </c>
      <c r="C2" s="5" t="inlineStr">
        <is>
          <t>damageType</t>
        </is>
      </c>
      <c r="D2" s="5" t="inlineStr">
        <is>
          <t>power</t>
        </is>
      </c>
      <c r="E2" s="5" t="inlineStr">
        <is>
          <t>piercing</t>
        </is>
      </c>
      <c r="F2" s="5" t="inlineStr">
        <is>
          <t>cooldown</t>
        </is>
      </c>
      <c r="G2" s="5" t="inlineStr">
        <is>
          <t>DPS</t>
        </is>
      </c>
    </row>
    <row r="3">
      <c r="A3" s="6" t="inlineStr">
        <is>
          <t>MeleeWeapon_BreachAxe</t>
        </is>
      </c>
      <c r="B3" s="6" t="inlineStr">
        <is>
          <t>stuff</t>
        </is>
      </c>
      <c r="C3" s="6" t="inlineStr">
        <is>
          <t>Blunt(blunt); Poke(blunt)</t>
        </is>
      </c>
      <c r="D3" s="7" t="n">
        <v>9</v>
      </c>
      <c r="E3" s="7">
        <f>ROUND(D3*Parameters!$B$2*IF(AND(B3="stuff",OR(ISNUMBER(SEARCH("(sharp)",C3)),ISNUMBER(SEARCH("(heat)",C3)))),Edit_Values!$B$2,IF(AND(B3="stuff",ISNUMBER(SEARCH("(blunt)",C3))),Edit_Values!$B$4,1))*Parameters!$B$7,2)</f>
        <v/>
      </c>
      <c r="F3" s="7" t="n">
        <v>2</v>
      </c>
      <c r="G3" s="7">
        <f>ROUND((D3*IF(AND(B3="stuff",ISNUMBER(SEARCH("(sharp)",C3))),Parameters!$B$2*Parameters!$B$3,IF(AND(B3="stuff",ISNUMBER(SEARCH("(blunt)",C3))),Parameters!$B$2*Parameters!$B$5,Parameters!$B$2)))/(F3*IF(AND(B3="stuff",OR(ISNUMBER(SEARCH("(sharp)",C3)),ISNUMBER(SEARCH("(heat)",C3)))),Parameters!$B$4,IF(AND(B3="stuff",ISNUMBER(SEARCH("(blunt)",C3))),Parameters!$B$6,1))),2)</f>
        <v/>
      </c>
    </row>
    <row r="4">
      <c r="A4" s="6" t="inlineStr">
        <is>
          <t>MeleeWeapon_BreachAxe</t>
        </is>
      </c>
      <c r="B4" s="6" t="inlineStr">
        <is>
          <t>stuff</t>
        </is>
      </c>
      <c r="C4" s="6" t="inlineStr">
        <is>
          <t>Demolish(blunt)</t>
        </is>
      </c>
      <c r="D4" s="7" t="n">
        <v>7.5</v>
      </c>
      <c r="E4" s="7">
        <f>ROUND(D4*Parameters!$B$2*IF(AND(B4="stuff",OR(ISNUMBER(SEARCH("(sharp)",C4)),ISNUMBER(SEARCH("(heat)",C4)))),Edit_Values!$B$2,IF(AND(B4="stuff",ISNUMBER(SEARCH("(blunt)",C4))),Edit_Values!$B$4,1))*Parameters!$B$7,2)</f>
        <v/>
      </c>
      <c r="F4" s="7" t="n">
        <v>1</v>
      </c>
      <c r="G4" s="7">
        <f>ROUND((D4*IF(AND(B4="stuff",ISNUMBER(SEARCH("(sharp)",C4))),Parameters!$B$2*Parameters!$B$3,IF(AND(B4="stuff",ISNUMBER(SEARCH("(blunt)",C4))),Parameters!$B$2*Parameters!$B$5,Parameters!$B$2)))/(F4*IF(AND(B4="stuff",OR(ISNUMBER(SEARCH("(sharp)",C4)),ISNUMBER(SEARCH("(heat)",C4)))),Parameters!$B$4,IF(AND(B4="stuff",ISNUMBER(SEARCH("(blunt)",C4))),Parameters!$B$6,1))),2)</f>
        <v/>
      </c>
    </row>
    <row r="5">
      <c r="A5" s="6" t="inlineStr">
        <is>
          <t>MeleeWeapon_Mace</t>
        </is>
      </c>
      <c r="B5" s="6" t="inlineStr">
        <is>
          <t>stuff</t>
        </is>
      </c>
      <c r="C5" s="6" t="inlineStr">
        <is>
          <t>Poke(blunt)</t>
        </is>
      </c>
      <c r="D5" s="7" t="n">
        <v>9</v>
      </c>
      <c r="E5" s="7">
        <f>ROUND(D5*Parameters!$B$2*IF(AND(B5="stuff",OR(ISNUMBER(SEARCH("(sharp)",C5)),ISNUMBER(SEARCH("(heat)",C5)))),Edit_Values!$B$2,IF(AND(B5="stuff",ISNUMBER(SEARCH("(blunt)",C5))),Edit_Values!$B$4,1))*Parameters!$B$7,2)</f>
        <v/>
      </c>
      <c r="F5" s="7" t="n">
        <v>2</v>
      </c>
      <c r="G5" s="7">
        <f>ROUND((D5*IF(AND(B5="stuff",ISNUMBER(SEARCH("(sharp)",C5))),Parameters!$B$2*Parameters!$B$3,IF(AND(B5="stuff",ISNUMBER(SEARCH("(blunt)",C5))),Parameters!$B$2*Parameters!$B$5,Parameters!$B$2)))/(F5*IF(AND(B5="stuff",OR(ISNUMBER(SEARCH("(sharp)",C5)),ISNUMBER(SEARCH("(heat)",C5)))),Parameters!$B$4,IF(AND(B5="stuff",ISNUMBER(SEARCH("(blunt)",C5))),Parameters!$B$6,1))),2)</f>
        <v/>
      </c>
    </row>
    <row r="6">
      <c r="A6" s="6" t="inlineStr">
        <is>
          <t>MeleeWeapon_Mace</t>
        </is>
      </c>
      <c r="B6" s="6" t="inlineStr">
        <is>
          <t>stuff</t>
        </is>
      </c>
      <c r="C6" s="6" t="inlineStr">
        <is>
          <t>Blunt(blunt)</t>
        </is>
      </c>
      <c r="D6" s="7" t="n">
        <v>15.7</v>
      </c>
      <c r="E6" s="7">
        <f>ROUND(D6*Parameters!$B$2*IF(AND(B6="stuff",OR(ISNUMBER(SEARCH("(sharp)",C6)),ISNUMBER(SEARCH("(heat)",C6)))),Edit_Values!$B$2,IF(AND(B6="stuff",ISNUMBER(SEARCH("(blunt)",C6))),Edit_Values!$B$4,1))*Parameters!$B$7,2)</f>
        <v/>
      </c>
      <c r="F6" s="7" t="n">
        <v>2</v>
      </c>
      <c r="G6" s="7">
        <f>ROUND((D6*IF(AND(B6="stuff",ISNUMBER(SEARCH("(sharp)",C6))),Parameters!$B$2*Parameters!$B$3,IF(AND(B6="stuff",ISNUMBER(SEARCH("(blunt)",C6))),Parameters!$B$2*Parameters!$B$5,Parameters!$B$2)))/(F6*IF(AND(B6="stuff",OR(ISNUMBER(SEARCH("(sharp)",C6)),ISNUMBER(SEARCH("(heat)",C6)))),Parameters!$B$4,IF(AND(B6="stuff",ISNUMBER(SEARCH("(blunt)",C6))),Parameters!$B$6,1))),2)</f>
        <v/>
      </c>
    </row>
    <row r="7">
      <c r="A7" s="6" t="inlineStr">
        <is>
          <t>MeleeWeapon_Gladius</t>
        </is>
      </c>
      <c r="B7" s="6" t="inlineStr">
        <is>
          <t>stuff</t>
        </is>
      </c>
      <c r="C7" s="6" t="inlineStr">
        <is>
          <t>Blunt(blunt)</t>
        </is>
      </c>
      <c r="D7" s="7" t="n">
        <v>9</v>
      </c>
      <c r="E7" s="7">
        <f>ROUND(D7*Parameters!$B$2*IF(AND(B7="stuff",OR(ISNUMBER(SEARCH("(sharp)",C7)),ISNUMBER(SEARCH("(heat)",C7)))),Edit_Values!$B$2,IF(AND(B7="stuff",ISNUMBER(SEARCH("(blunt)",C7))),Edit_Values!$B$4,1))*Parameters!$B$7,2)</f>
        <v/>
      </c>
      <c r="F7" s="7" t="n">
        <v>2</v>
      </c>
      <c r="G7" s="7">
        <f>ROUND((D7*IF(AND(B7="stuff",ISNUMBER(SEARCH("(sharp)",C7))),Parameters!$B$2*Parameters!$B$3,IF(AND(B7="stuff",ISNUMBER(SEARCH("(blunt)",C7))),Parameters!$B$2*Parameters!$B$5,Parameters!$B$2)))/(F7*IF(AND(B7="stuff",OR(ISNUMBER(SEARCH("(sharp)",C7)),ISNUMBER(SEARCH("(heat)",C7)))),Parameters!$B$4,IF(AND(B7="stuff",ISNUMBER(SEARCH("(blunt)",C7))),Parameters!$B$6,1))),2)</f>
        <v/>
      </c>
    </row>
    <row r="8">
      <c r="A8" s="6" t="inlineStr">
        <is>
          <t>MeleeWeapon_LongSword</t>
        </is>
      </c>
      <c r="B8" s="6" t="inlineStr">
        <is>
          <t>stuff</t>
        </is>
      </c>
      <c r="C8" s="6" t="inlineStr">
        <is>
          <t>Blunt(blunt)</t>
        </is>
      </c>
      <c r="D8" s="7" t="n">
        <v>9</v>
      </c>
      <c r="E8" s="7">
        <f>ROUND(D8*Parameters!$B$2*IF(AND(B8="stuff",OR(ISNUMBER(SEARCH("(sharp)",C8)),ISNUMBER(SEARCH("(heat)",C8)))),Edit_Values!$B$2,IF(AND(B8="stuff",ISNUMBER(SEARCH("(blunt)",C8))),Edit_Values!$B$4,1))*Parameters!$B$7,2)</f>
        <v/>
      </c>
      <c r="F8" s="7" t="n">
        <v>2</v>
      </c>
      <c r="G8" s="7">
        <f>ROUND((D8*IF(AND(B8="stuff",ISNUMBER(SEARCH("(sharp)",C8))),Parameters!$B$2*Parameters!$B$3,IF(AND(B8="stuff",ISNUMBER(SEARCH("(blunt)",C8))),Parameters!$B$2*Parameters!$B$5,Parameters!$B$2)))/(F8*IF(AND(B8="stuff",OR(ISNUMBER(SEARCH("(sharp)",C8)),ISNUMBER(SEARCH("(heat)",C8)))),Parameters!$B$4,IF(AND(B8="stuff",ISNUMBER(SEARCH("(blunt)",C8))),Parameters!$B$6,1))),2)</f>
        <v/>
      </c>
    </row>
    <row r="9">
      <c r="A9" s="6" t="inlineStr">
        <is>
          <t>MeleeWeapon_Club</t>
        </is>
      </c>
      <c r="B9" s="6" t="inlineStr">
        <is>
          <t>stuff</t>
        </is>
      </c>
      <c r="C9" s="6" t="inlineStr">
        <is>
          <t>Poke(blunt)</t>
        </is>
      </c>
      <c r="D9" s="7" t="n">
        <v>9</v>
      </c>
      <c r="E9" s="7">
        <f>ROUND(D9*Parameters!$B$2*IF(AND(B9="stuff",OR(ISNUMBER(SEARCH("(sharp)",C9)),ISNUMBER(SEARCH("(heat)",C9)))),Edit_Values!$B$2,IF(AND(B9="stuff",ISNUMBER(SEARCH("(blunt)",C9))),Edit_Values!$B$4,1))*Parameters!$B$7,2)</f>
        <v/>
      </c>
      <c r="F9" s="7" t="n">
        <v>2</v>
      </c>
      <c r="G9" s="7">
        <f>ROUND((D9*IF(AND(B9="stuff",ISNUMBER(SEARCH("(sharp)",C9))),Parameters!$B$2*Parameters!$B$3,IF(AND(B9="stuff",ISNUMBER(SEARCH("(blunt)",C9))),Parameters!$B$2*Parameters!$B$5,Parameters!$B$2)))/(F9*IF(AND(B9="stuff",OR(ISNUMBER(SEARCH("(sharp)",C9)),ISNUMBER(SEARCH("(heat)",C9)))),Parameters!$B$4,IF(AND(B9="stuff",ISNUMBER(SEARCH("(blunt)",C9))),Parameters!$B$6,1))),2)</f>
        <v/>
      </c>
    </row>
    <row r="10">
      <c r="A10" s="6" t="inlineStr">
        <is>
          <t>MeleeWeapon_Club</t>
        </is>
      </c>
      <c r="B10" s="6" t="inlineStr">
        <is>
          <t>stuff</t>
        </is>
      </c>
      <c r="C10" s="6" t="inlineStr">
        <is>
          <t>Blunt(blunt)</t>
        </is>
      </c>
      <c r="D10" s="7" t="n">
        <v>14</v>
      </c>
      <c r="E10" s="7">
        <f>ROUND(D10*Parameters!$B$2*IF(AND(B10="stuff",OR(ISNUMBER(SEARCH("(sharp)",C10)),ISNUMBER(SEARCH("(heat)",C10)))),Edit_Values!$B$2,IF(AND(B10="stuff",ISNUMBER(SEARCH("(blunt)",C10))),Edit_Values!$B$4,1))*Parameters!$B$7,2)</f>
        <v/>
      </c>
      <c r="F10" s="7" t="n">
        <v>2</v>
      </c>
      <c r="G10" s="7">
        <f>ROUND((D10*IF(AND(B10="stuff",ISNUMBER(SEARCH("(sharp)",C10))),Parameters!$B$2*Parameters!$B$3,IF(AND(B10="stuff",ISNUMBER(SEARCH("(blunt)",C10))),Parameters!$B$2*Parameters!$B$5,Parameters!$B$2)))/(F10*IF(AND(B10="stuff",OR(ISNUMBER(SEARCH("(sharp)",C10)),ISNUMBER(SEARCH("(heat)",C10)))),Parameters!$B$4,IF(AND(B10="stuff",ISNUMBER(SEARCH("(blunt)",C10))),Parameters!$B$6,1))),2)</f>
        <v/>
      </c>
    </row>
    <row r="11">
      <c r="A11" s="6" t="inlineStr">
        <is>
          <t>MeleeWeapon_Knife</t>
        </is>
      </c>
      <c r="B11" s="6" t="inlineStr">
        <is>
          <t>stuff</t>
        </is>
      </c>
      <c r="C11" s="6" t="inlineStr">
        <is>
          <t>Blunt(blunt)</t>
        </is>
      </c>
      <c r="D11" s="7" t="n">
        <v>9</v>
      </c>
      <c r="E11" s="7">
        <f>ROUND(D11*Parameters!$B$2*IF(AND(B11="stuff",OR(ISNUMBER(SEARCH("(sharp)",C11)),ISNUMBER(SEARCH("(heat)",C11)))),Edit_Values!$B$2,IF(AND(B11="stuff",ISNUMBER(SEARCH("(blunt)",C11))),Edit_Values!$B$4,1))*Parameters!$B$7,2)</f>
        <v/>
      </c>
      <c r="F11" s="7" t="n">
        <v>2</v>
      </c>
      <c r="G11" s="7">
        <f>ROUND((D11*IF(AND(B11="stuff",ISNUMBER(SEARCH("(sharp)",C11))),Parameters!$B$2*Parameters!$B$3,IF(AND(B11="stuff",ISNUMBER(SEARCH("(blunt)",C11))),Parameters!$B$2*Parameters!$B$5,Parameters!$B$2)))/(F11*IF(AND(B11="stuff",OR(ISNUMBER(SEARCH("(sharp)",C11)),ISNUMBER(SEARCH("(heat)",C11)))),Parameters!$B$4,IF(AND(B11="stuff",ISNUMBER(SEARCH("(blunt)",C11))),Parameters!$B$6,1))),2)</f>
        <v/>
      </c>
    </row>
    <row r="12">
      <c r="A12" s="6" t="inlineStr">
        <is>
          <t>MeleeWeapon_Ikwa</t>
        </is>
      </c>
      <c r="B12" s="6" t="inlineStr">
        <is>
          <t>stuff</t>
        </is>
      </c>
      <c r="C12" s="6" t="inlineStr">
        <is>
          <t>Blunt(blunt); Poke(blunt)</t>
        </is>
      </c>
      <c r="D12" s="7" t="n">
        <v>9</v>
      </c>
      <c r="E12" s="7">
        <f>ROUND(D12*Parameters!$B$2*IF(AND(B12="stuff",OR(ISNUMBER(SEARCH("(sharp)",C12)),ISNUMBER(SEARCH("(heat)",C12)))),Edit_Values!$B$2,IF(AND(B12="stuff",ISNUMBER(SEARCH("(blunt)",C12))),Edit_Values!$B$4,1))*Parameters!$B$7,2)</f>
        <v/>
      </c>
      <c r="F12" s="7" t="n">
        <v>2</v>
      </c>
      <c r="G12" s="7">
        <f>ROUND((D12*IF(AND(B12="stuff",ISNUMBER(SEARCH("(sharp)",C12))),Parameters!$B$2*Parameters!$B$3,IF(AND(B12="stuff",ISNUMBER(SEARCH("(blunt)",C12))),Parameters!$B$2*Parameters!$B$5,Parameters!$B$2)))/(F12*IF(AND(B12="stuff",OR(ISNUMBER(SEARCH("(sharp)",C12)),ISNUMBER(SEARCH("(heat)",C12)))),Parameters!$B$4,IF(AND(B12="stuff",ISNUMBER(SEARCH("(blunt)",C12))),Parameters!$B$6,1))),2)</f>
        <v/>
      </c>
    </row>
    <row r="13">
      <c r="A13" s="6" t="inlineStr">
        <is>
          <t>MeleeWeapon_Spear</t>
        </is>
      </c>
      <c r="B13" s="6" t="inlineStr">
        <is>
          <t>stuff</t>
        </is>
      </c>
      <c r="C13" s="6" t="inlineStr">
        <is>
          <t>Blunt(blunt); Poke(blunt)</t>
        </is>
      </c>
      <c r="D13" s="7" t="n">
        <v>13</v>
      </c>
      <c r="E13" s="7">
        <f>ROUND(D13*Parameters!$B$2*IF(AND(B13="stuff",OR(ISNUMBER(SEARCH("(sharp)",C13)),ISNUMBER(SEARCH("(heat)",C13)))),Edit_Values!$B$2,IF(AND(B13="stuff",ISNUMBER(SEARCH("(blunt)",C13))),Edit_Values!$B$4,1))*Parameters!$B$7,2)</f>
        <v/>
      </c>
      <c r="F13" s="7" t="n">
        <v>2.6</v>
      </c>
      <c r="G13" s="7">
        <f>ROUND((D13*IF(AND(B13="stuff",ISNUMBER(SEARCH("(sharp)",C13))),Parameters!$B$2*Parameters!$B$3,IF(AND(B13="stuff",ISNUMBER(SEARCH("(blunt)",C13))),Parameters!$B$2*Parameters!$B$5,Parameters!$B$2)))/(F13*IF(AND(B13="stuff",OR(ISNUMBER(SEARCH("(sharp)",C13)),ISNUMBER(SEARCH("(heat)",C13)))),Parameters!$B$4,IF(AND(B13="stuff",ISNUMBER(SEARCH("(blunt)",C13))),Parameters!$B$6,1))),2)</f>
        <v/>
      </c>
    </row>
    <row r="14">
      <c r="A14" s="6" t="inlineStr">
        <is>
          <t>MeleeWeapon_MonoSwordBladelink</t>
        </is>
      </c>
      <c r="B14" s="6" t="inlineStr">
        <is>
          <t>생산 불가</t>
        </is>
      </c>
      <c r="C14" s="6" t="inlineStr">
        <is>
          <t>Blunt(blunt)</t>
        </is>
      </c>
      <c r="D14" s="7" t="n">
        <v>12</v>
      </c>
      <c r="E14" s="7">
        <f>ROUND(D14*Parameters!$B$2*IF(AND(B14="stuff",OR(ISNUMBER(SEARCH("(sharp)",C14)),ISNUMBER(SEARCH("(heat)",C14)))),Edit_Values!$B$2,IF(AND(B14="stuff",ISNUMBER(SEARCH("(blunt)",C14))),Edit_Values!$B$4,1))*Parameters!$B$7,2)</f>
        <v/>
      </c>
      <c r="F14" s="7" t="n">
        <v>1.6</v>
      </c>
      <c r="G14" s="7">
        <f>ROUND((D14*IF(AND(B14="stuff",ISNUMBER(SEARCH("(sharp)",C14))),Parameters!$B$2*Parameters!$B$3,IF(AND(B14="stuff",ISNUMBER(SEARCH("(blunt)",C14))),Parameters!$B$2*Parameters!$B$5,Parameters!$B$2)))/(F14*IF(AND(B14="stuff",OR(ISNUMBER(SEARCH("(sharp)",C14)),ISNUMBER(SEARCH("(heat)",C14)))),Parameters!$B$4,IF(AND(B14="stuff",ISNUMBER(SEARCH("(blunt)",C14))),Parameters!$B$6,1))),2)</f>
        <v/>
      </c>
    </row>
    <row r="15">
      <c r="A15" s="6" t="inlineStr">
        <is>
          <t>MeleeWeapon_ZeusHammerBladelink</t>
        </is>
      </c>
      <c r="B15" s="6" t="inlineStr">
        <is>
          <t>생산 불가</t>
        </is>
      </c>
      <c r="C15" s="6" t="inlineStr">
        <is>
          <t>Poke(blunt)</t>
        </is>
      </c>
      <c r="D15" s="7" t="n">
        <v>15</v>
      </c>
      <c r="E15" s="7">
        <f>ROUND(D15*Parameters!$B$2*IF(AND(B15="stuff",OR(ISNUMBER(SEARCH("(sharp)",C15)),ISNUMBER(SEARCH("(heat)",C15)))),Edit_Values!$B$2,IF(AND(B15="stuff",ISNUMBER(SEARCH("(blunt)",C15))),Edit_Values!$B$4,1))*Parameters!$B$7,2)</f>
        <v/>
      </c>
      <c r="F15" s="7" t="n">
        <v>1.6</v>
      </c>
      <c r="G15" s="7">
        <f>ROUND((D15*IF(AND(B15="stuff",ISNUMBER(SEARCH("(sharp)",C15))),Parameters!$B$2*Parameters!$B$3,IF(AND(B15="stuff",ISNUMBER(SEARCH("(blunt)",C15))),Parameters!$B$2*Parameters!$B$5,Parameters!$B$2)))/(F15*IF(AND(B15="stuff",OR(ISNUMBER(SEARCH("(sharp)",C15)),ISNUMBER(SEARCH("(heat)",C15)))),Parameters!$B$4,IF(AND(B15="stuff",ISNUMBER(SEARCH("(blunt)",C15))),Parameters!$B$6,1))),2)</f>
        <v/>
      </c>
    </row>
    <row r="16">
      <c r="A16" s="6" t="inlineStr">
        <is>
          <t>MeleeWeapon_PlasmaSwordBladelink</t>
        </is>
      </c>
      <c r="B16" s="6" t="inlineStr">
        <is>
          <t>생산 불가</t>
        </is>
      </c>
      <c r="C16" s="6" t="inlineStr">
        <is>
          <t>Blunt(blunt)</t>
        </is>
      </c>
      <c r="D16" s="7" t="n">
        <v>12</v>
      </c>
      <c r="E16" s="7">
        <f>ROUND(D16*Parameters!$B$2*IF(AND(B16="stuff",OR(ISNUMBER(SEARCH("(sharp)",C16)),ISNUMBER(SEARCH("(heat)",C16)))),Edit_Values!$B$2,IF(AND(B16="stuff",ISNUMBER(SEARCH("(blunt)",C16))),Edit_Values!$B$4,1))*Parameters!$B$7,2)</f>
        <v/>
      </c>
      <c r="F16" s="7" t="n">
        <v>1.6</v>
      </c>
      <c r="G16" s="7">
        <f>ROUND((D16*IF(AND(B16="stuff",ISNUMBER(SEARCH("(sharp)",C16))),Parameters!$B$2*Parameters!$B$3,IF(AND(B16="stuff",ISNUMBER(SEARCH("(blunt)",C16))),Parameters!$B$2*Parameters!$B$5,Parameters!$B$2)))/(F16*IF(AND(B16="stuff",OR(ISNUMBER(SEARCH("(sharp)",C16)),ISNUMBER(SEARCH("(heat)",C16)))),Parameters!$B$4,IF(AND(B16="stuff",ISNUMBER(SEARCH("(blunt)",C16))),Parameters!$B$6,1))),2)</f>
        <v/>
      </c>
    </row>
    <row r="17">
      <c r="A17" s="6" t="inlineStr">
        <is>
          <t>MeleeWeapon_Axe</t>
        </is>
      </c>
      <c r="B17" s="6" t="inlineStr">
        <is>
          <t>stuff</t>
        </is>
      </c>
      <c r="C17" s="6" t="inlineStr">
        <is>
          <t>Poke(blunt)</t>
        </is>
      </c>
      <c r="D17" s="7" t="n">
        <v>9</v>
      </c>
      <c r="E17" s="7">
        <f>ROUND(D17*Parameters!$B$2*IF(AND(B17="stuff",OR(ISNUMBER(SEARCH("(sharp)",C17)),ISNUMBER(SEARCH("(heat)",C17)))),Edit_Values!$B$2,IF(AND(B17="stuff",ISNUMBER(SEARCH("(blunt)",C17))),Edit_Values!$B$4,1))*Parameters!$B$7,2)</f>
        <v/>
      </c>
      <c r="F17" s="7" t="n">
        <v>2</v>
      </c>
      <c r="G17" s="7">
        <f>ROUND((D17*IF(AND(B17="stuff",ISNUMBER(SEARCH("(sharp)",C17))),Parameters!$B$2*Parameters!$B$3,IF(AND(B17="stuff",ISNUMBER(SEARCH("(blunt)",C17))),Parameters!$B$2*Parameters!$B$5,Parameters!$B$2)))/(F17*IF(AND(B17="stuff",OR(ISNUMBER(SEARCH("(sharp)",C17)),ISNUMBER(SEARCH("(heat)",C17)))),Parameters!$B$4,IF(AND(B17="stuff",ISNUMBER(SEARCH("(blunt)",C17))),Parameters!$B$6,1))),2)</f>
        <v/>
      </c>
    </row>
    <row r="18">
      <c r="A18" s="6" t="inlineStr">
        <is>
          <t>MeleeWeapon_Warhammer</t>
        </is>
      </c>
      <c r="B18" s="6" t="inlineStr">
        <is>
          <t>stuff</t>
        </is>
      </c>
      <c r="C18" s="6" t="inlineStr">
        <is>
          <t>Poke(blunt)</t>
        </is>
      </c>
      <c r="D18" s="7" t="n">
        <v>11</v>
      </c>
      <c r="E18" s="7">
        <f>ROUND(D18*Parameters!$B$2*IF(AND(B18="stuff",OR(ISNUMBER(SEARCH("(sharp)",C18)),ISNUMBER(SEARCH("(heat)",C18)))),Edit_Values!$B$2,IF(AND(B18="stuff",ISNUMBER(SEARCH("(blunt)",C18))),Edit_Values!$B$4,1))*Parameters!$B$7,2)</f>
        <v/>
      </c>
      <c r="F18" s="7" t="n">
        <v>2.6</v>
      </c>
      <c r="G18" s="7">
        <f>ROUND((D18*IF(AND(B18="stuff",ISNUMBER(SEARCH("(sharp)",C18))),Parameters!$B$2*Parameters!$B$3,IF(AND(B18="stuff",ISNUMBER(SEARCH("(blunt)",C18))),Parameters!$B$2*Parameters!$B$5,Parameters!$B$2)))/(F18*IF(AND(B18="stuff",OR(ISNUMBER(SEARCH("(sharp)",C18)),ISNUMBER(SEARCH("(heat)",C18)))),Parameters!$B$4,IF(AND(B18="stuff",ISNUMBER(SEARCH("(blunt)",C18))),Parameters!$B$6,1))),2)</f>
        <v/>
      </c>
    </row>
    <row r="19">
      <c r="A19" s="6" t="inlineStr">
        <is>
          <t>MeleeWeapon_Warhammer</t>
        </is>
      </c>
      <c r="B19" s="6" t="inlineStr">
        <is>
          <t>stuff</t>
        </is>
      </c>
      <c r="C19" s="6" t="inlineStr">
        <is>
          <t>Blunt(blunt)</t>
        </is>
      </c>
      <c r="D19" s="7" t="n">
        <v>20</v>
      </c>
      <c r="E19" s="7">
        <f>ROUND(D19*Parameters!$B$2*IF(AND(B19="stuff",OR(ISNUMBER(SEARCH("(sharp)",C19)),ISNUMBER(SEARCH("(heat)",C19)))),Edit_Values!$B$2,IF(AND(B19="stuff",ISNUMBER(SEARCH("(blunt)",C19))),Edit_Values!$B$4,1))*Parameters!$B$7,2)</f>
        <v/>
      </c>
      <c r="F19" s="7" t="n">
        <v>2.6</v>
      </c>
      <c r="G19" s="7">
        <f>ROUND((D19*IF(AND(B19="stuff",ISNUMBER(SEARCH("(sharp)",C19))),Parameters!$B$2*Parameters!$B$3,IF(AND(B19="stuff",ISNUMBER(SEARCH("(blunt)",C19))),Parameters!$B$2*Parameters!$B$5,Parameters!$B$2)))/(F19*IF(AND(B19="stuff",OR(ISNUMBER(SEARCH("(sharp)",C19)),ISNUMBER(SEARCH("(heat)",C19)))),Parameters!$B$4,IF(AND(B19="stuff",ISNUMBER(SEARCH("(blunt)",C19))),Parameters!$B$6,1))),2)</f>
        <v/>
      </c>
    </row>
    <row r="20">
      <c r="A20" s="6" t="inlineStr">
        <is>
          <t>MeleeWeapon_MonoSword</t>
        </is>
      </c>
      <c r="B20" s="6" t="inlineStr">
        <is>
          <t>생산 불가</t>
        </is>
      </c>
      <c r="C20" s="6" t="inlineStr">
        <is>
          <t>Blunt(blunt)</t>
        </is>
      </c>
      <c r="D20" s="7" t="n">
        <v>12</v>
      </c>
      <c r="E20" s="7">
        <f>ROUND(D20*Parameters!$B$2*IF(AND(B20="stuff",OR(ISNUMBER(SEARCH("(sharp)",C20)),ISNUMBER(SEARCH("(heat)",C20)))),Edit_Values!$B$2,IF(AND(B20="stuff",ISNUMBER(SEARCH("(blunt)",C20))),Edit_Values!$B$4,1))*Parameters!$B$7,2)</f>
        <v/>
      </c>
      <c r="F20" s="7" t="n">
        <v>1.6</v>
      </c>
      <c r="G20" s="7">
        <f>ROUND((D20*IF(AND(B20="stuff",ISNUMBER(SEARCH("(sharp)",C20))),Parameters!$B$2*Parameters!$B$3,IF(AND(B20="stuff",ISNUMBER(SEARCH("(blunt)",C20))),Parameters!$B$2*Parameters!$B$5,Parameters!$B$2)))/(F20*IF(AND(B20="stuff",OR(ISNUMBER(SEARCH("(sharp)",C20)),ISNUMBER(SEARCH("(heat)",C20)))),Parameters!$B$4,IF(AND(B20="stuff",ISNUMBER(SEARCH("(blunt)",C20))),Parameters!$B$6,1))),2)</f>
        <v/>
      </c>
    </row>
    <row r="21">
      <c r="A21" s="6" t="inlineStr">
        <is>
          <t>MeleeWeapon_Zeushammer</t>
        </is>
      </c>
      <c r="B21" s="6" t="inlineStr">
        <is>
          <t>생산 불가</t>
        </is>
      </c>
      <c r="C21" s="6" t="inlineStr">
        <is>
          <t>Poke(blunt)</t>
        </is>
      </c>
      <c r="D21" s="7" t="n">
        <v>15</v>
      </c>
      <c r="E21" s="7">
        <f>ROUND(D21*Parameters!$B$2*IF(AND(B21="stuff",OR(ISNUMBER(SEARCH("(sharp)",C21)),ISNUMBER(SEARCH("(heat)",C21)))),Edit_Values!$B$2,IF(AND(B21="stuff",ISNUMBER(SEARCH("(blunt)",C21))),Edit_Values!$B$4,1))*Parameters!$B$7,2)</f>
        <v/>
      </c>
      <c r="F21" s="7" t="n">
        <v>2</v>
      </c>
      <c r="G21" s="7">
        <f>ROUND((D21*IF(AND(B21="stuff",ISNUMBER(SEARCH("(sharp)",C21))),Parameters!$B$2*Parameters!$B$3,IF(AND(B21="stuff",ISNUMBER(SEARCH("(blunt)",C21))),Parameters!$B$2*Parameters!$B$5,Parameters!$B$2)))/(F21*IF(AND(B21="stuff",OR(ISNUMBER(SEARCH("(sharp)",C21)),ISNUMBER(SEARCH("(heat)",C21)))),Parameters!$B$4,IF(AND(B21="stuff",ISNUMBER(SEARCH("(blunt)",C21))),Parameters!$B$6,1))),2)</f>
        <v/>
      </c>
    </row>
    <row r="22">
      <c r="A22" s="6" t="inlineStr">
        <is>
          <t>MeleeWeapon_PlasmaSword</t>
        </is>
      </c>
      <c r="B22" s="6" t="inlineStr">
        <is>
          <t>생산 불가</t>
        </is>
      </c>
      <c r="C22" s="6" t="inlineStr">
        <is>
          <t>Blunt(blunt)</t>
        </is>
      </c>
      <c r="D22" s="7" t="n">
        <v>12</v>
      </c>
      <c r="E22" s="7">
        <f>ROUND(D22*Parameters!$B$2*IF(AND(B22="stuff",OR(ISNUMBER(SEARCH("(sharp)",C22)),ISNUMBER(SEARCH("(heat)",C22)))),Edit_Values!$B$2,IF(AND(B22="stuff",ISNUMBER(SEARCH("(blunt)",C22))),Edit_Values!$B$4,1))*Parameters!$B$7,2)</f>
        <v/>
      </c>
      <c r="F22" s="7" t="n">
        <v>2</v>
      </c>
      <c r="G22" s="7">
        <f>ROUND((D22*IF(AND(B22="stuff",ISNUMBER(SEARCH("(sharp)",C22))),Parameters!$B$2*Parameters!$B$3,IF(AND(B22="stuff",ISNUMBER(SEARCH("(blunt)",C22))),Parameters!$B$2*Parameters!$B$5,Parameters!$B$2)))/(F22*IF(AND(B22="stuff",OR(ISNUMBER(SEARCH("(sharp)",C22)),ISNUMBER(SEARCH("(heat)",C22)))),Parameters!$B$4,IF(AND(B22="stuff",ISNUMBER(SEARCH("(blunt)",C22))),Parameters!$B$6,1))),2)</f>
        <v/>
      </c>
    </row>
    <row r="23">
      <c r="A23" s="6" t="inlineStr">
        <is>
          <t>MeleeWeapon_PsyfocusStaff</t>
        </is>
      </c>
      <c r="B23" s="6" t="inlineStr">
        <is>
          <t>생산 불가</t>
        </is>
      </c>
      <c r="C23" s="6" t="inlineStr">
        <is>
          <t>Blunt(blunt)</t>
        </is>
      </c>
      <c r="D23" s="7" t="n">
        <v>12</v>
      </c>
      <c r="E23" s="7">
        <f>ROUND(D23*Parameters!$B$2*IF(AND(B23="stuff",OR(ISNUMBER(SEARCH("(sharp)",C23)),ISNUMBER(SEARCH("(heat)",C23)))),Edit_Values!$B$2,IF(AND(B23="stuff",ISNUMBER(SEARCH("(blunt)",C23))),Edit_Values!$B$4,1))*Parameters!$B$7,2)</f>
        <v/>
      </c>
      <c r="F23" s="7" t="n">
        <v>2.6</v>
      </c>
      <c r="G23" s="7">
        <f>ROUND((D23*IF(AND(B23="stuff",ISNUMBER(SEARCH("(sharp)",C23))),Parameters!$B$2*Parameters!$B$3,IF(AND(B23="stuff",ISNUMBER(SEARCH("(blunt)",C23))),Parameters!$B$2*Parameters!$B$5,Parameters!$B$2)))/(F23*IF(AND(B23="stuff",OR(ISNUMBER(SEARCH("(sharp)",C23)),ISNUMBER(SEARCH("(heat)",C23)))),Parameters!$B$4,IF(AND(B23="stuff",ISNUMBER(SEARCH("(blunt)",C23))),Parameters!$B$6,1))),2)</f>
        <v/>
      </c>
    </row>
    <row r="24">
      <c r="A24" s="6" t="inlineStr">
        <is>
          <t>MastodonTusk</t>
        </is>
      </c>
      <c r="B24" s="6" t="inlineStr">
        <is>
          <t>생산 불가</t>
        </is>
      </c>
      <c r="C24" s="6" t="inlineStr">
        <is>
          <t>Blunt(blunt)</t>
        </is>
      </c>
      <c r="D24" s="7" t="n">
        <v>10</v>
      </c>
      <c r="E24" s="7">
        <f>ROUND(D24*Parameters!$B$2*IF(AND(B24="stuff",OR(ISNUMBER(SEARCH("(sharp)",C24)),ISNUMBER(SEARCH("(heat)",C24)))),Edit_Values!$B$2,IF(AND(B24="stuff",ISNUMBER(SEARCH("(blunt)",C24))),Edit_Values!$B$4,1))*Parameters!$B$7,2)</f>
        <v/>
      </c>
      <c r="F24" s="7" t="n">
        <v>2.2</v>
      </c>
      <c r="G24" s="7">
        <f>ROUND((D24*IF(AND(B24="stuff",ISNUMBER(SEARCH("(sharp)",C24))),Parameters!$B$2*Parameters!$B$3,IF(AND(B24="stuff",ISNUMBER(SEARCH("(blunt)",C24))),Parameters!$B$2*Parameters!$B$5,Parameters!$B$2)))/(F24*IF(AND(B24="stuff",OR(ISNUMBER(SEARCH("(sharp)",C24)),ISNUMBER(SEARCH("(heat)",C24)))),Parameters!$B$4,IF(AND(B24="stuff",ISNUMBER(SEARCH("(blunt)",C24))),Parameters!$B$6,1))),2)</f>
        <v/>
      </c>
    </row>
    <row r="25">
      <c r="A25" s="6" t="inlineStr">
        <is>
          <t>AlphaThrumboHorn</t>
        </is>
      </c>
      <c r="B25" s="6" t="inlineStr">
        <is>
          <t>생산 불가</t>
        </is>
      </c>
      <c r="C25" s="6" t="inlineStr">
        <is>
          <t>Blunt(blunt)</t>
        </is>
      </c>
      <c r="D25" s="7" t="n">
        <v>9</v>
      </c>
      <c r="E25" s="7">
        <f>ROUND(D25*Parameters!$B$2*IF(AND(B25="stuff",OR(ISNUMBER(SEARCH("(sharp)",C25)),ISNUMBER(SEARCH("(heat)",C25)))),Edit_Values!$B$2,IF(AND(B25="stuff",ISNUMBER(SEARCH("(blunt)",C25))),Edit_Values!$B$4,1))*Parameters!$B$7,2)</f>
        <v/>
      </c>
      <c r="F25" s="7" t="n">
        <v>1.4</v>
      </c>
      <c r="G25" s="7">
        <f>ROUND((D25*IF(AND(B25="stuff",ISNUMBER(SEARCH("(sharp)",C25))),Parameters!$B$2*Parameters!$B$3,IF(AND(B25="stuff",ISNUMBER(SEARCH("(blunt)",C25))),Parameters!$B$2*Parameters!$B$5,Parameters!$B$2)))/(F25*IF(AND(B25="stuff",OR(ISNUMBER(SEARCH("(sharp)",C25)),ISNUMBER(SEARCH("(heat)",C25)))),Parameters!$B$4,IF(AND(B25="stuff",ISNUMBER(SEARCH("(blunt)",C25))),Parameters!$B$6,1))),2)</f>
        <v/>
      </c>
    </row>
    <row r="26">
      <c r="A26" s="6" t="inlineStr">
        <is>
          <t>RK_OneHanded</t>
        </is>
      </c>
      <c r="B26" s="6" t="inlineStr">
        <is>
          <t>stuff</t>
        </is>
      </c>
      <c r="C26" s="6" t="inlineStr">
        <is>
          <t>Blunt(blunt)</t>
        </is>
      </c>
      <c r="D26" s="7" t="n">
        <v>10</v>
      </c>
      <c r="E26" s="7">
        <f>ROUND(D26*Parameters!$B$2*IF(AND(B26="stuff",OR(ISNUMBER(SEARCH("(sharp)",C26)),ISNUMBER(SEARCH("(heat)",C26)))),Edit_Values!$B$2,IF(AND(B26="stuff",ISNUMBER(SEARCH("(blunt)",C26))),Edit_Values!$B$4,1))*Parameters!$B$7,2)</f>
        <v/>
      </c>
      <c r="F26" s="7" t="n">
        <v>1.8</v>
      </c>
      <c r="G26" s="7">
        <f>ROUND((D26*IF(AND(B26="stuff",ISNUMBER(SEARCH("(sharp)",C26))),Parameters!$B$2*Parameters!$B$3,IF(AND(B26="stuff",ISNUMBER(SEARCH("(blunt)",C26))),Parameters!$B$2*Parameters!$B$5,Parameters!$B$2)))/(F26*IF(AND(B26="stuff",OR(ISNUMBER(SEARCH("(sharp)",C26)),ISNUMBER(SEARCH("(heat)",C26)))),Parameters!$B$4,IF(AND(B26="stuff",ISNUMBER(SEARCH("(blunt)",C26))),Parameters!$B$6,1))),2)</f>
        <v/>
      </c>
    </row>
    <row r="27">
      <c r="A27" s="6" t="inlineStr">
        <is>
          <t>RK_Mace</t>
        </is>
      </c>
      <c r="B27" s="6" t="inlineStr">
        <is>
          <t>stuff</t>
        </is>
      </c>
      <c r="C27" s="6" t="inlineStr">
        <is>
          <t>Blunt(blunt)</t>
        </is>
      </c>
      <c r="D27" s="7" t="n">
        <v>20</v>
      </c>
      <c r="E27" s="7">
        <f>ROUND(D27*Parameters!$B$2*IF(AND(B27="stuff",OR(ISNUMBER(SEARCH("(sharp)",C27)),ISNUMBER(SEARCH("(heat)",C27)))),Edit_Values!$B$2,IF(AND(B27="stuff",ISNUMBER(SEARCH("(blunt)",C27))),Edit_Values!$B$4,1))*Parameters!$B$7,2)</f>
        <v/>
      </c>
      <c r="F27" s="7" t="n">
        <v>2.4</v>
      </c>
      <c r="G27" s="7">
        <f>ROUND((D27*IF(AND(B27="stuff",ISNUMBER(SEARCH("(sharp)",C27))),Parameters!$B$2*Parameters!$B$3,IF(AND(B27="stuff",ISNUMBER(SEARCH("(blunt)",C27))),Parameters!$B$2*Parameters!$B$5,Parameters!$B$2)))/(F27*IF(AND(B27="stuff",OR(ISNUMBER(SEARCH("(sharp)",C27)),ISNUMBER(SEARCH("(heat)",C27)))),Parameters!$B$4,IF(AND(B27="stuff",ISNUMBER(SEARCH("(blunt)",C27))),Parameters!$B$6,1))),2)</f>
        <v/>
      </c>
    </row>
    <row r="28">
      <c r="A28" s="6" t="inlineStr">
        <is>
          <t>RK_Mace</t>
        </is>
      </c>
      <c r="B28" s="6" t="inlineStr">
        <is>
          <t>stuff</t>
        </is>
      </c>
      <c r="C28" s="6" t="inlineStr">
        <is>
          <t>Blunt(blunt)</t>
        </is>
      </c>
      <c r="D28" s="7" t="n">
        <v>10</v>
      </c>
      <c r="E28" s="7">
        <f>ROUND(D28*Parameters!$B$2*IF(AND(B28="stuff",OR(ISNUMBER(SEARCH("(sharp)",C28)),ISNUMBER(SEARCH("(heat)",C28)))),Edit_Values!$B$2,IF(AND(B28="stuff",ISNUMBER(SEARCH("(blunt)",C28))),Edit_Values!$B$4,1))*Parameters!$B$7,2)</f>
        <v/>
      </c>
      <c r="F28" s="7" t="n">
        <v>2.2</v>
      </c>
      <c r="G28" s="7">
        <f>ROUND((D28*IF(AND(B28="stuff",ISNUMBER(SEARCH("(sharp)",C28))),Parameters!$B$2*Parameters!$B$3,IF(AND(B28="stuff",ISNUMBER(SEARCH("(blunt)",C28))),Parameters!$B$2*Parameters!$B$5,Parameters!$B$2)))/(F28*IF(AND(B28="stuff",OR(ISNUMBER(SEARCH("(sharp)",C28)),ISNUMBER(SEARCH("(heat)",C28)))),Parameters!$B$4,IF(AND(B28="stuff",ISNUMBER(SEARCH("(blunt)",C28))),Parameters!$B$6,1))),2)</f>
        <v/>
      </c>
    </row>
    <row r="29">
      <c r="A29" s="6" t="inlineStr">
        <is>
          <t>RK_LightLance</t>
        </is>
      </c>
      <c r="B29" s="6" t="inlineStr">
        <is>
          <t>Fixed Cost</t>
        </is>
      </c>
      <c r="C29" s="6" t="inlineStr">
        <is>
          <t>Blunt(blunt)</t>
        </is>
      </c>
      <c r="D29" s="7" t="n">
        <v>13</v>
      </c>
      <c r="E29" s="7">
        <f>ROUND(D29*Parameters!$B$2*IF(AND(B29="stuff",OR(ISNUMBER(SEARCH("(sharp)",C29)),ISNUMBER(SEARCH("(heat)",C29)))),Edit_Values!$B$2,IF(AND(B29="stuff",ISNUMBER(SEARCH("(blunt)",C29))),Edit_Values!$B$4,1))*Parameters!$B$7,2)</f>
        <v/>
      </c>
      <c r="F29" s="7" t="n">
        <v>2.8</v>
      </c>
      <c r="G29" s="7">
        <f>ROUND((D29*IF(AND(B29="stuff",ISNUMBER(SEARCH("(sharp)",C29))),Parameters!$B$2*Parameters!$B$3,IF(AND(B29="stuff",ISNUMBER(SEARCH("(blunt)",C29))),Parameters!$B$2*Parameters!$B$5,Parameters!$B$2)))/(F29*IF(AND(B29="stuff",OR(ISNUMBER(SEARCH("(sharp)",C29)),ISNUMBER(SEARCH("(heat)",C29)))),Parameters!$B$4,IF(AND(B29="stuff",ISNUMBER(SEARCH("(blunt)",C29))),Parameters!$B$6,1))),2)</f>
        <v/>
      </c>
    </row>
    <row r="30">
      <c r="A30" s="6" t="inlineStr">
        <is>
          <t>RK_TwoHanded</t>
        </is>
      </c>
      <c r="B30" s="6" t="inlineStr">
        <is>
          <t>stuff</t>
        </is>
      </c>
      <c r="C30" s="6" t="inlineStr">
        <is>
          <t>Blunt(blunt)</t>
        </is>
      </c>
      <c r="D30" s="7" t="n">
        <v>12</v>
      </c>
      <c r="E30" s="7">
        <f>ROUND(D30*Parameters!$B$2*IF(AND(B30="stuff",OR(ISNUMBER(SEARCH("(sharp)",C30)),ISNUMBER(SEARCH("(heat)",C30)))),Edit_Values!$B$2,IF(AND(B30="stuff",ISNUMBER(SEARCH("(blunt)",C30))),Edit_Values!$B$4,1))*Parameters!$B$7,2)</f>
        <v/>
      </c>
      <c r="F30" s="7" t="n">
        <v>2</v>
      </c>
      <c r="G30" s="7">
        <f>ROUND((D30*IF(AND(B30="stuff",ISNUMBER(SEARCH("(sharp)",C30))),Parameters!$B$2*Parameters!$B$3,IF(AND(B30="stuff",ISNUMBER(SEARCH("(blunt)",C30))),Parameters!$B$2*Parameters!$B$5,Parameters!$B$2)))/(F30*IF(AND(B30="stuff",OR(ISNUMBER(SEARCH("(sharp)",C30)),ISNUMBER(SEARCH("(heat)",C30)))),Parameters!$B$4,IF(AND(B30="stuff",ISNUMBER(SEARCH("(blunt)",C30))),Parameters!$B$6,1))),2)</f>
        <v/>
      </c>
    </row>
    <row r="31">
      <c r="A31" s="6" t="inlineStr">
        <is>
          <t>RK_HeavyLance</t>
        </is>
      </c>
      <c r="B31" s="6" t="inlineStr">
        <is>
          <t>stuff</t>
        </is>
      </c>
      <c r="C31" s="6" t="inlineStr">
        <is>
          <t>Blunt(blunt)</t>
        </is>
      </c>
      <c r="D31" s="7" t="n">
        <v>16</v>
      </c>
      <c r="E31" s="7">
        <f>ROUND(D31*Parameters!$B$2*IF(AND(B31="stuff",OR(ISNUMBER(SEARCH("(sharp)",C31)),ISNUMBER(SEARCH("(heat)",C31)))),Edit_Values!$B$2,IF(AND(B31="stuff",ISNUMBER(SEARCH("(blunt)",C31))),Edit_Values!$B$4,1))*Parameters!$B$7,2)</f>
        <v/>
      </c>
      <c r="F31" s="7" t="n">
        <v>3.4</v>
      </c>
      <c r="G31" s="7">
        <f>ROUND((D31*IF(AND(B31="stuff",ISNUMBER(SEARCH("(sharp)",C31))),Parameters!$B$2*Parameters!$B$3,IF(AND(B31="stuff",ISNUMBER(SEARCH("(blunt)",C31))),Parameters!$B$2*Parameters!$B$5,Parameters!$B$2)))/(F31*IF(AND(B31="stuff",OR(ISNUMBER(SEARCH("(sharp)",C31)),ISNUMBER(SEARCH("(heat)",C31)))),Parameters!$B$4,IF(AND(B31="stuff",ISNUMBER(SEARCH("(blunt)",C31))),Parameters!$B$6,1))),2)</f>
        <v/>
      </c>
    </row>
    <row r="32">
      <c r="A32" s="6" t="inlineStr">
        <is>
          <t>RK_LongSword</t>
        </is>
      </c>
      <c r="B32" s="6" t="inlineStr">
        <is>
          <t>stuff</t>
        </is>
      </c>
      <c r="C32" s="6" t="inlineStr">
        <is>
          <t>Blunt(blunt)</t>
        </is>
      </c>
      <c r="D32" s="7" t="n">
        <v>12</v>
      </c>
      <c r="E32" s="7">
        <f>ROUND(D32*Parameters!$B$2*IF(AND(B32="stuff",OR(ISNUMBER(SEARCH("(sharp)",C32)),ISNUMBER(SEARCH("(heat)",C32)))),Edit_Values!$B$2,IF(AND(B32="stuff",ISNUMBER(SEARCH("(blunt)",C32))),Edit_Values!$B$4,1))*Parameters!$B$7,2)</f>
        <v/>
      </c>
      <c r="F32" s="7" t="n">
        <v>1.8</v>
      </c>
      <c r="G32" s="7">
        <f>ROUND((D32*IF(AND(B32="stuff",ISNUMBER(SEARCH("(sharp)",C32))),Parameters!$B$2*Parameters!$B$3,IF(AND(B32="stuff",ISNUMBER(SEARCH("(blunt)",C32))),Parameters!$B$2*Parameters!$B$5,Parameters!$B$2)))/(F32*IF(AND(B32="stuff",OR(ISNUMBER(SEARCH("(sharp)",C32)),ISNUMBER(SEARCH("(heat)",C32)))),Parameters!$B$4,IF(AND(B32="stuff",ISNUMBER(SEARCH("(blunt)",C32))),Parameters!$B$6,1))),2)</f>
        <v/>
      </c>
    </row>
    <row r="33">
      <c r="A33" s="6" t="inlineStr">
        <is>
          <t>RK_Spear</t>
        </is>
      </c>
      <c r="B33" s="6" t="inlineStr">
        <is>
          <t>stuff</t>
        </is>
      </c>
      <c r="C33" s="6" t="inlineStr">
        <is>
          <t>Blunt(blunt); Poke(blunt)</t>
        </is>
      </c>
      <c r="D33" s="7" t="n">
        <v>6.5</v>
      </c>
      <c r="E33" s="7">
        <f>ROUND(D33*Parameters!$B$2*IF(AND(B33="stuff",OR(ISNUMBER(SEARCH("(sharp)",C33)),ISNUMBER(SEARCH("(heat)",C33)))),Edit_Values!$B$2,IF(AND(B33="stuff",ISNUMBER(SEARCH("(blunt)",C33))),Edit_Values!$B$4,1))*Parameters!$B$7,2)</f>
        <v/>
      </c>
      <c r="F33" s="7" t="n">
        <v>1.3</v>
      </c>
      <c r="G33" s="7">
        <f>ROUND((D33*IF(AND(B33="stuff",ISNUMBER(SEARCH("(sharp)",C33))),Parameters!$B$2*Parameters!$B$3,IF(AND(B33="stuff",ISNUMBER(SEARCH("(blunt)",C33))),Parameters!$B$2*Parameters!$B$5,Parameters!$B$2)))/(F33*IF(AND(B33="stuff",OR(ISNUMBER(SEARCH("(sharp)",C33)),ISNUMBER(SEARCH("(heat)",C33)))),Parameters!$B$4,IF(AND(B33="stuff",ISNUMBER(SEARCH("(blunt)",C33))),Parameters!$B$6,1))),2)</f>
        <v/>
      </c>
    </row>
    <row r="34">
      <c r="A34" s="6" t="inlineStr">
        <is>
          <t>RK_Axe</t>
        </is>
      </c>
      <c r="B34" s="6" t="inlineStr">
        <is>
          <t>stuff</t>
        </is>
      </c>
      <c r="C34" s="6" t="inlineStr">
        <is>
          <t>Blunt(blunt)</t>
        </is>
      </c>
      <c r="D34" s="7" t="n">
        <v>8</v>
      </c>
      <c r="E34" s="7">
        <f>ROUND(D34*Parameters!$B$2*IF(AND(B34="stuff",OR(ISNUMBER(SEARCH("(sharp)",C34)),ISNUMBER(SEARCH("(heat)",C34)))),Edit_Values!$B$2,IF(AND(B34="stuff",ISNUMBER(SEARCH("(blunt)",C34))),Edit_Values!$B$4,1))*Parameters!$B$7,2)</f>
        <v/>
      </c>
      <c r="F34" s="7" t="n">
        <v>2</v>
      </c>
      <c r="G34" s="7">
        <f>ROUND((D34*IF(AND(B34="stuff",ISNUMBER(SEARCH("(sharp)",C34))),Parameters!$B$2*Parameters!$B$3,IF(AND(B34="stuff",ISNUMBER(SEARCH("(blunt)",C34))),Parameters!$B$2*Parameters!$B$5,Parameters!$B$2)))/(F34*IF(AND(B34="stuff",OR(ISNUMBER(SEARCH("(sharp)",C34)),ISNUMBER(SEARCH("(heat)",C34)))),Parameters!$B$4,IF(AND(B34="stuff",ISNUMBER(SEARCH("(blunt)",C34))),Parameters!$B$6,1))),2)</f>
        <v/>
      </c>
    </row>
    <row r="35">
      <c r="A35" s="6" t="inlineStr">
        <is>
          <t>RK_Cleaver</t>
        </is>
      </c>
      <c r="B35" s="6" t="inlineStr">
        <is>
          <t>stuff</t>
        </is>
      </c>
      <c r="C35" s="6" t="inlineStr">
        <is>
          <t>Blunt(blunt)</t>
        </is>
      </c>
      <c r="D35" s="7" t="n">
        <v>5</v>
      </c>
      <c r="E35" s="7">
        <f>ROUND(D35*Parameters!$B$2*IF(AND(B35="stuff",OR(ISNUMBER(SEARCH("(sharp)",C35)),ISNUMBER(SEARCH("(heat)",C35)))),Edit_Values!$B$2,IF(AND(B35="stuff",ISNUMBER(SEARCH("(blunt)",C35))),Edit_Values!$B$4,1))*Parameters!$B$7,2)</f>
        <v/>
      </c>
      <c r="F35" s="7" t="n">
        <v>2</v>
      </c>
      <c r="G35" s="7">
        <f>ROUND((D35*IF(AND(B35="stuff",ISNUMBER(SEARCH("(sharp)",C35))),Parameters!$B$2*Parameters!$B$3,IF(AND(B35="stuff",ISNUMBER(SEARCH("(blunt)",C35))),Parameters!$B$2*Parameters!$B$5,Parameters!$B$2)))/(F35*IF(AND(B35="stuff",OR(ISNUMBER(SEARCH("(sharp)",C35)),ISNUMBER(SEARCH("(heat)",C35)))),Parameters!$B$4,IF(AND(B35="stuff",ISNUMBER(SEARCH("(blunt)",C35))),Parameters!$B$6,1))),2)</f>
        <v/>
      </c>
    </row>
    <row r="36">
      <c r="A36" s="6" t="inlineStr">
        <is>
          <t>RK_Pickaxe</t>
        </is>
      </c>
      <c r="B36" s="6" t="inlineStr">
        <is>
          <t>stuff</t>
        </is>
      </c>
      <c r="C36" s="6" t="inlineStr">
        <is>
          <t>Blunt(blunt)</t>
        </is>
      </c>
      <c r="D36" s="7" t="n">
        <v>20</v>
      </c>
      <c r="E36" s="7">
        <f>ROUND(D36*Parameters!$B$2*IF(AND(B36="stuff",OR(ISNUMBER(SEARCH("(sharp)",C36)),ISNUMBER(SEARCH("(heat)",C36)))),Edit_Values!$B$2,IF(AND(B36="stuff",ISNUMBER(SEARCH("(blunt)",C36))),Edit_Values!$B$4,1))*Parameters!$B$7,2)</f>
        <v/>
      </c>
      <c r="F36" s="7" t="n">
        <v>3</v>
      </c>
      <c r="G36" s="7">
        <f>ROUND((D36*IF(AND(B36="stuff",ISNUMBER(SEARCH("(sharp)",C36))),Parameters!$B$2*Parameters!$B$3,IF(AND(B36="stuff",ISNUMBER(SEARCH("(blunt)",C36))),Parameters!$B$2*Parameters!$B$5,Parameters!$B$2)))/(F36*IF(AND(B36="stuff",OR(ISNUMBER(SEARCH("(sharp)",C36)),ISNUMBER(SEARCH("(heat)",C36)))),Parameters!$B$4,IF(AND(B36="stuff",ISNUMBER(SEARCH("(blunt)",C36))),Parameters!$B$6,1))),2)</f>
        <v/>
      </c>
    </row>
  </sheetData>
  <autoFilter ref="A2:G36"/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/>
  <cols>
    <col width="35" customWidth="1" min="1" max="1"/>
    <col width="8" customWidth="1" min="2" max="2"/>
    <col width="30" customWidth="1" min="3" max="3"/>
    <col width="8" customWidth="1" min="4" max="4"/>
    <col width="40" customWidth="1" min="5" max="5"/>
    <col width="11" customWidth="1" min="6" max="6"/>
    <col width="40" customWidth="1" min="7" max="7"/>
  </cols>
  <sheetData>
    <row r="1">
      <c r="A1" s="5" t="inlineStr">
        <is>
          <t>defName</t>
        </is>
      </c>
      <c r="B1" s="5" t="inlineStr">
        <is>
          <t>생산</t>
        </is>
      </c>
      <c r="C1" s="5" t="inlineStr">
        <is>
          <t>damageType</t>
        </is>
      </c>
      <c r="D1" s="5" t="inlineStr">
        <is>
          <t>power</t>
        </is>
      </c>
      <c r="E1" s="5" t="inlineStr">
        <is>
          <t>piercing</t>
        </is>
      </c>
      <c r="F1" s="5" t="inlineStr">
        <is>
          <t>cooldown</t>
        </is>
      </c>
      <c r="G1" s="5" t="inlineStr">
        <is>
          <t>DPS</t>
        </is>
      </c>
    </row>
    <row r="2">
      <c r="A2" s="6" t="inlineStr">
        <is>
          <t>MeleeWeapon_BreachAxe</t>
        </is>
      </c>
      <c r="B2" s="6" t="inlineStr">
        <is>
          <t>stuff</t>
        </is>
      </c>
      <c r="C2" s="6" t="inlineStr">
        <is>
          <t>Blunt(blunt); Poke(blunt)</t>
        </is>
      </c>
      <c r="D2" s="7" t="n">
        <v>9</v>
      </c>
      <c r="E2" s="7">
        <f>ROUND(D2*Parameters!$B$2*IF(AND(B2="stuff",OR(ISNUMBER(SEARCH("(sharp)",C2)),ISNUMBER(SEARCH("(heat)",C2)))),Edit_Values!$B$2,IF(AND(B2="stuff",ISNUMBER(SEARCH("(blunt)",C2))),Edit_Values!$B$4,1))*Parameters!$B$7,2)</f>
        <v/>
      </c>
      <c r="F2" s="7" t="n">
        <v>2</v>
      </c>
      <c r="G2" s="7">
        <f>ROUND((D2*IF(AND(B2="stuff",ISNUMBER(SEARCH("(sharp)",C2))),Parameters!$B$2*Parameters!$B$3,IF(AND(B2="stuff",ISNUMBER(SEARCH("(blunt)",C2))),Parameters!$B$2*Parameters!$B$5,Parameters!$B$2)))/(F2*IF(AND(B2="stuff",OR(ISNUMBER(SEARCH("(sharp)",C2)),ISNUMBER(SEARCH("(heat)",C2)))),Parameters!$B$4,IF(AND(B2="stuff",ISNUMBER(SEARCH("(blunt)",C2))),Parameters!$B$6,1))),2)</f>
        <v/>
      </c>
    </row>
    <row r="3">
      <c r="A3" s="6" t="inlineStr">
        <is>
          <t>MeleeWeapon_BreachAxe</t>
        </is>
      </c>
      <c r="B3" s="6" t="inlineStr">
        <is>
          <t>stuff</t>
        </is>
      </c>
      <c r="C3" s="6" t="inlineStr">
        <is>
          <t>Demolish(blunt)</t>
        </is>
      </c>
      <c r="D3" s="7" t="n">
        <v>7.5</v>
      </c>
      <c r="E3" s="7">
        <f>ROUND(D3*Parameters!$B$2*IF(AND(B3="stuff",OR(ISNUMBER(SEARCH("(sharp)",C3)),ISNUMBER(SEARCH("(heat)",C3)))),Edit_Values!$B$2,IF(AND(B3="stuff",ISNUMBER(SEARCH("(blunt)",C3))),Edit_Values!$B$4,1))*Parameters!$B$7,2)</f>
        <v/>
      </c>
      <c r="F3" s="7" t="n">
        <v>1</v>
      </c>
      <c r="G3" s="7">
        <f>ROUND((D3*IF(AND(B3="stuff",ISNUMBER(SEARCH("(sharp)",C3))),Parameters!$B$2*Parameters!$B$3,IF(AND(B3="stuff",ISNUMBER(SEARCH("(blunt)",C3))),Parameters!$B$2*Parameters!$B$5,Parameters!$B$2)))/(F3*IF(AND(B3="stuff",OR(ISNUMBER(SEARCH("(sharp)",C3)),ISNUMBER(SEARCH("(heat)",C3)))),Parameters!$B$4,IF(AND(B3="stuff",ISNUMBER(SEARCH("(blunt)",C3))),Parameters!$B$6,1))),2)</f>
        <v/>
      </c>
    </row>
    <row r="4">
      <c r="A4" s="6" t="inlineStr">
        <is>
          <t>MeleeWeapon_Mace</t>
        </is>
      </c>
      <c r="B4" s="6" t="inlineStr">
        <is>
          <t>stuff</t>
        </is>
      </c>
      <c r="C4" s="6" t="inlineStr">
        <is>
          <t>Poke(blunt)</t>
        </is>
      </c>
      <c r="D4" s="7" t="n">
        <v>9</v>
      </c>
      <c r="E4" s="7">
        <f>ROUND(D4*Parameters!$B$2*IF(AND(B4="stuff",OR(ISNUMBER(SEARCH("(sharp)",C4)),ISNUMBER(SEARCH("(heat)",C4)))),Edit_Values!$B$2,IF(AND(B4="stuff",ISNUMBER(SEARCH("(blunt)",C4))),Edit_Values!$B$4,1))*Parameters!$B$7,2)</f>
        <v/>
      </c>
      <c r="F4" s="7" t="n">
        <v>2</v>
      </c>
      <c r="G4" s="7">
        <f>ROUND((D4*IF(AND(B4="stuff",ISNUMBER(SEARCH("(sharp)",C4))),Parameters!$B$2*Parameters!$B$3,IF(AND(B4="stuff",ISNUMBER(SEARCH("(blunt)",C4))),Parameters!$B$2*Parameters!$B$5,Parameters!$B$2)))/(F4*IF(AND(B4="stuff",OR(ISNUMBER(SEARCH("(sharp)",C4)),ISNUMBER(SEARCH("(heat)",C4)))),Parameters!$B$4,IF(AND(B4="stuff",ISNUMBER(SEARCH("(blunt)",C4))),Parameters!$B$6,1))),2)</f>
        <v/>
      </c>
    </row>
    <row r="5">
      <c r="A5" s="6" t="inlineStr">
        <is>
          <t>MeleeWeapon_Mace</t>
        </is>
      </c>
      <c r="B5" s="6" t="inlineStr">
        <is>
          <t>stuff</t>
        </is>
      </c>
      <c r="C5" s="6" t="inlineStr">
        <is>
          <t>Blunt(blunt)</t>
        </is>
      </c>
      <c r="D5" s="7" t="n">
        <v>15.7</v>
      </c>
      <c r="E5" s="7">
        <f>ROUND(D5*Parameters!$B$2*IF(AND(B5="stuff",OR(ISNUMBER(SEARCH("(sharp)",C5)),ISNUMBER(SEARCH("(heat)",C5)))),Edit_Values!$B$2,IF(AND(B5="stuff",ISNUMBER(SEARCH("(blunt)",C5))),Edit_Values!$B$4,1))*Parameters!$B$7,2)</f>
        <v/>
      </c>
      <c r="F5" s="7" t="n">
        <v>2</v>
      </c>
      <c r="G5" s="7">
        <f>ROUND((D5*IF(AND(B5="stuff",ISNUMBER(SEARCH("(sharp)",C5))),Parameters!$B$2*Parameters!$B$3,IF(AND(B5="stuff",ISNUMBER(SEARCH("(blunt)",C5))),Parameters!$B$2*Parameters!$B$5,Parameters!$B$2)))/(F5*IF(AND(B5="stuff",OR(ISNUMBER(SEARCH("(sharp)",C5)),ISNUMBER(SEARCH("(heat)",C5)))),Parameters!$B$4,IF(AND(B5="stuff",ISNUMBER(SEARCH("(blunt)",C5))),Parameters!$B$6,1))),2)</f>
        <v/>
      </c>
    </row>
    <row r="6">
      <c r="A6" s="6" t="inlineStr">
        <is>
          <t>MeleeWeapon_Gladius</t>
        </is>
      </c>
      <c r="B6" s="6" t="inlineStr">
        <is>
          <t>stuff</t>
        </is>
      </c>
      <c r="C6" s="6" t="inlineStr">
        <is>
          <t>Blunt(blunt)</t>
        </is>
      </c>
      <c r="D6" s="7" t="n">
        <v>9</v>
      </c>
      <c r="E6" s="7">
        <f>ROUND(D6*Parameters!$B$2*IF(AND(B6="stuff",OR(ISNUMBER(SEARCH("(sharp)",C6)),ISNUMBER(SEARCH("(heat)",C6)))),Edit_Values!$B$2,IF(AND(B6="stuff",ISNUMBER(SEARCH("(blunt)",C6))),Edit_Values!$B$4,1))*Parameters!$B$7,2)</f>
        <v/>
      </c>
      <c r="F6" s="7" t="n">
        <v>2</v>
      </c>
      <c r="G6" s="7">
        <f>ROUND((D6*IF(AND(B6="stuff",ISNUMBER(SEARCH("(sharp)",C6))),Parameters!$B$2*Parameters!$B$3,IF(AND(B6="stuff",ISNUMBER(SEARCH("(blunt)",C6))),Parameters!$B$2*Parameters!$B$5,Parameters!$B$2)))/(F6*IF(AND(B6="stuff",OR(ISNUMBER(SEARCH("(sharp)",C6)),ISNUMBER(SEARCH("(heat)",C6)))),Parameters!$B$4,IF(AND(B6="stuff",ISNUMBER(SEARCH("(blunt)",C6))),Parameters!$B$6,1))),2)</f>
        <v/>
      </c>
    </row>
    <row r="7">
      <c r="A7" s="6" t="inlineStr">
        <is>
          <t>MeleeWeapon_Gladius</t>
        </is>
      </c>
      <c r="B7" s="6" t="inlineStr">
        <is>
          <t>stuff</t>
        </is>
      </c>
      <c r="C7" s="6" t="inlineStr">
        <is>
          <t>Stab(sharp)</t>
        </is>
      </c>
      <c r="D7" s="7" t="n">
        <v>16</v>
      </c>
      <c r="E7" s="7">
        <f>ROUND(D7*Parameters!$B$2*IF(AND(B7="stuff",OR(ISNUMBER(SEARCH("(sharp)",C7)),ISNUMBER(SEARCH("(heat)",C7)))),Edit_Values!$B$2,IF(AND(B7="stuff",ISNUMBER(SEARCH("(blunt)",C7))),Edit_Values!$B$4,1))*Parameters!$B$7,2)</f>
        <v/>
      </c>
      <c r="F7" s="7" t="n">
        <v>2</v>
      </c>
      <c r="G7" s="7">
        <f>ROUND((D7*IF(AND(B7="stuff",ISNUMBER(SEARCH("(sharp)",C7))),Parameters!$B$2*Parameters!$B$3,IF(AND(B7="stuff",ISNUMBER(SEARCH("(blunt)",C7))),Parameters!$B$2*Parameters!$B$5,Parameters!$B$2)))/(F7*IF(AND(B7="stuff",OR(ISNUMBER(SEARCH("(sharp)",C7)),ISNUMBER(SEARCH("(heat)",C7)))),Parameters!$B$4,IF(AND(B7="stuff",ISNUMBER(SEARCH("(blunt)",C7))),Parameters!$B$6,1))),2)</f>
        <v/>
      </c>
    </row>
    <row r="8">
      <c r="A8" s="6" t="inlineStr">
        <is>
          <t>MeleeWeapon_Gladius</t>
        </is>
      </c>
      <c r="B8" s="6" t="inlineStr">
        <is>
          <t>stuff</t>
        </is>
      </c>
      <c r="C8" s="6" t="inlineStr">
        <is>
          <t>Cut(sharp)</t>
        </is>
      </c>
      <c r="D8" s="7" t="n">
        <v>16</v>
      </c>
      <c r="E8" s="7">
        <f>ROUND(D8*Parameters!$B$2*IF(AND(B8="stuff",OR(ISNUMBER(SEARCH("(sharp)",C8)),ISNUMBER(SEARCH("(heat)",C8)))),Edit_Values!$B$2,IF(AND(B8="stuff",ISNUMBER(SEARCH("(blunt)",C8))),Edit_Values!$B$4,1))*Parameters!$B$7,2)</f>
        <v/>
      </c>
      <c r="F8" s="7" t="n">
        <v>2</v>
      </c>
      <c r="G8" s="7">
        <f>ROUND((D8*IF(AND(B8="stuff",ISNUMBER(SEARCH("(sharp)",C8))),Parameters!$B$2*Parameters!$B$3,IF(AND(B8="stuff",ISNUMBER(SEARCH("(blunt)",C8))),Parameters!$B$2*Parameters!$B$5,Parameters!$B$2)))/(F8*IF(AND(B8="stuff",OR(ISNUMBER(SEARCH("(sharp)",C8)),ISNUMBER(SEARCH("(heat)",C8)))),Parameters!$B$4,IF(AND(B8="stuff",ISNUMBER(SEARCH("(blunt)",C8))),Parameters!$B$6,1))),2)</f>
        <v/>
      </c>
    </row>
    <row r="9">
      <c r="A9" s="6" t="inlineStr">
        <is>
          <t>MeleeWeapon_LongSword</t>
        </is>
      </c>
      <c r="B9" s="6" t="inlineStr">
        <is>
          <t>stuff</t>
        </is>
      </c>
      <c r="C9" s="6" t="inlineStr">
        <is>
          <t>Blunt(blunt)</t>
        </is>
      </c>
      <c r="D9" s="7" t="n">
        <v>9</v>
      </c>
      <c r="E9" s="7">
        <f>ROUND(D9*Parameters!$B$2*IF(AND(B9="stuff",OR(ISNUMBER(SEARCH("(sharp)",C9)),ISNUMBER(SEARCH("(heat)",C9)))),Edit_Values!$B$2,IF(AND(B9="stuff",ISNUMBER(SEARCH("(blunt)",C9))),Edit_Values!$B$4,1))*Parameters!$B$7,2)</f>
        <v/>
      </c>
      <c r="F9" s="7" t="n">
        <v>2</v>
      </c>
      <c r="G9" s="7">
        <f>ROUND((D9*IF(AND(B9="stuff",ISNUMBER(SEARCH("(sharp)",C9))),Parameters!$B$2*Parameters!$B$3,IF(AND(B9="stuff",ISNUMBER(SEARCH("(blunt)",C9))),Parameters!$B$2*Parameters!$B$5,Parameters!$B$2)))/(F9*IF(AND(B9="stuff",OR(ISNUMBER(SEARCH("(sharp)",C9)),ISNUMBER(SEARCH("(heat)",C9)))),Parameters!$B$4,IF(AND(B9="stuff",ISNUMBER(SEARCH("(blunt)",C9))),Parameters!$B$6,1))),2)</f>
        <v/>
      </c>
    </row>
    <row r="10">
      <c r="A10" s="6" t="inlineStr">
        <is>
          <t>MeleeWeapon_LongSword</t>
        </is>
      </c>
      <c r="B10" s="6" t="inlineStr">
        <is>
          <t>stuff</t>
        </is>
      </c>
      <c r="C10" s="6" t="inlineStr">
        <is>
          <t>Stab(sharp)</t>
        </is>
      </c>
      <c r="D10" s="7" t="n">
        <v>23</v>
      </c>
      <c r="E10" s="7">
        <f>ROUND(D10*Parameters!$B$2*IF(AND(B10="stuff",OR(ISNUMBER(SEARCH("(sharp)",C10)),ISNUMBER(SEARCH("(heat)",C10)))),Edit_Values!$B$2,IF(AND(B10="stuff",ISNUMBER(SEARCH("(blunt)",C10))),Edit_Values!$B$4,1))*Parameters!$B$7,2)</f>
        <v/>
      </c>
      <c r="F10" s="7" t="n">
        <v>2.6</v>
      </c>
      <c r="G10" s="7">
        <f>ROUND((D10*IF(AND(B10="stuff",ISNUMBER(SEARCH("(sharp)",C10))),Parameters!$B$2*Parameters!$B$3,IF(AND(B10="stuff",ISNUMBER(SEARCH("(blunt)",C10))),Parameters!$B$2*Parameters!$B$5,Parameters!$B$2)))/(F10*IF(AND(B10="stuff",OR(ISNUMBER(SEARCH("(sharp)",C10)),ISNUMBER(SEARCH("(heat)",C10)))),Parameters!$B$4,IF(AND(B10="stuff",ISNUMBER(SEARCH("(blunt)",C10))),Parameters!$B$6,1))),2)</f>
        <v/>
      </c>
    </row>
    <row r="11">
      <c r="A11" s="6" t="inlineStr">
        <is>
          <t>MeleeWeapon_LongSword</t>
        </is>
      </c>
      <c r="B11" s="6" t="inlineStr">
        <is>
          <t>stuff</t>
        </is>
      </c>
      <c r="C11" s="6" t="inlineStr">
        <is>
          <t>Cut(sharp)</t>
        </is>
      </c>
      <c r="D11" s="7" t="n">
        <v>23</v>
      </c>
      <c r="E11" s="7">
        <f>ROUND(D11*Parameters!$B$2*IF(AND(B11="stuff",OR(ISNUMBER(SEARCH("(sharp)",C11)),ISNUMBER(SEARCH("(heat)",C11)))),Edit_Values!$B$2,IF(AND(B11="stuff",ISNUMBER(SEARCH("(blunt)",C11))),Edit_Values!$B$4,1))*Parameters!$B$7,2)</f>
        <v/>
      </c>
      <c r="F11" s="7" t="n">
        <v>2.6</v>
      </c>
      <c r="G11" s="7">
        <f>ROUND((D11*IF(AND(B11="stuff",ISNUMBER(SEARCH("(sharp)",C11))),Parameters!$B$2*Parameters!$B$3,IF(AND(B11="stuff",ISNUMBER(SEARCH("(blunt)",C11))),Parameters!$B$2*Parameters!$B$5,Parameters!$B$2)))/(F11*IF(AND(B11="stuff",OR(ISNUMBER(SEARCH("(sharp)",C11)),ISNUMBER(SEARCH("(heat)",C11)))),Parameters!$B$4,IF(AND(B11="stuff",ISNUMBER(SEARCH("(blunt)",C11))),Parameters!$B$6,1))),2)</f>
        <v/>
      </c>
    </row>
    <row r="12">
      <c r="A12" s="6" t="inlineStr">
        <is>
          <t>MeleeWeapon_Club</t>
        </is>
      </c>
      <c r="B12" s="6" t="inlineStr">
        <is>
          <t>stuff</t>
        </is>
      </c>
      <c r="C12" s="6" t="inlineStr">
        <is>
          <t>Poke(blunt)</t>
        </is>
      </c>
      <c r="D12" s="7" t="n">
        <v>9</v>
      </c>
      <c r="E12" s="7">
        <f>ROUND(D12*Parameters!$B$2*IF(AND(B12="stuff",OR(ISNUMBER(SEARCH("(sharp)",C12)),ISNUMBER(SEARCH("(heat)",C12)))),Edit_Values!$B$2,IF(AND(B12="stuff",ISNUMBER(SEARCH("(blunt)",C12))),Edit_Values!$B$4,1))*Parameters!$B$7,2)</f>
        <v/>
      </c>
      <c r="F12" s="7" t="n">
        <v>2</v>
      </c>
      <c r="G12" s="7">
        <f>ROUND((D12*IF(AND(B12="stuff",ISNUMBER(SEARCH("(sharp)",C12))),Parameters!$B$2*Parameters!$B$3,IF(AND(B12="stuff",ISNUMBER(SEARCH("(blunt)",C12))),Parameters!$B$2*Parameters!$B$5,Parameters!$B$2)))/(F12*IF(AND(B12="stuff",OR(ISNUMBER(SEARCH("(sharp)",C12)),ISNUMBER(SEARCH("(heat)",C12)))),Parameters!$B$4,IF(AND(B12="stuff",ISNUMBER(SEARCH("(blunt)",C12))),Parameters!$B$6,1))),2)</f>
        <v/>
      </c>
    </row>
    <row r="13">
      <c r="A13" s="6" t="inlineStr">
        <is>
          <t>MeleeWeapon_Club</t>
        </is>
      </c>
      <c r="B13" s="6" t="inlineStr">
        <is>
          <t>stuff</t>
        </is>
      </c>
      <c r="C13" s="6" t="inlineStr">
        <is>
          <t>Blunt(blunt)</t>
        </is>
      </c>
      <c r="D13" s="7" t="n">
        <v>14</v>
      </c>
      <c r="E13" s="7">
        <f>ROUND(D13*Parameters!$B$2*IF(AND(B13="stuff",OR(ISNUMBER(SEARCH("(sharp)",C13)),ISNUMBER(SEARCH("(heat)",C13)))),Edit_Values!$B$2,IF(AND(B13="stuff",ISNUMBER(SEARCH("(blunt)",C13))),Edit_Values!$B$4,1))*Parameters!$B$7,2)</f>
        <v/>
      </c>
      <c r="F13" s="7" t="n">
        <v>2</v>
      </c>
      <c r="G13" s="7">
        <f>ROUND((D13*IF(AND(B13="stuff",ISNUMBER(SEARCH("(sharp)",C13))),Parameters!$B$2*Parameters!$B$3,IF(AND(B13="stuff",ISNUMBER(SEARCH("(blunt)",C13))),Parameters!$B$2*Parameters!$B$5,Parameters!$B$2)))/(F13*IF(AND(B13="stuff",OR(ISNUMBER(SEARCH("(sharp)",C13)),ISNUMBER(SEARCH("(heat)",C13)))),Parameters!$B$4,IF(AND(B13="stuff",ISNUMBER(SEARCH("(blunt)",C13))),Parameters!$B$6,1))),2)</f>
        <v/>
      </c>
    </row>
    <row r="14">
      <c r="A14" s="6" t="inlineStr">
        <is>
          <t>MeleeWeapon_Knife</t>
        </is>
      </c>
      <c r="B14" s="6" t="inlineStr">
        <is>
          <t>stuff</t>
        </is>
      </c>
      <c r="C14" s="6" t="inlineStr">
        <is>
          <t>Blunt(blunt)</t>
        </is>
      </c>
      <c r="D14" s="7" t="n">
        <v>9</v>
      </c>
      <c r="E14" s="7">
        <f>ROUND(D14*Parameters!$B$2*IF(AND(B14="stuff",OR(ISNUMBER(SEARCH("(sharp)",C14)),ISNUMBER(SEARCH("(heat)",C14)))),Edit_Values!$B$2,IF(AND(B14="stuff",ISNUMBER(SEARCH("(blunt)",C14))),Edit_Values!$B$4,1))*Parameters!$B$7,2)</f>
        <v/>
      </c>
      <c r="F14" s="7" t="n">
        <v>2</v>
      </c>
      <c r="G14" s="7">
        <f>ROUND((D14*IF(AND(B14="stuff",ISNUMBER(SEARCH("(sharp)",C14))),Parameters!$B$2*Parameters!$B$3,IF(AND(B14="stuff",ISNUMBER(SEARCH("(blunt)",C14))),Parameters!$B$2*Parameters!$B$5,Parameters!$B$2)))/(F14*IF(AND(B14="stuff",OR(ISNUMBER(SEARCH("(sharp)",C14)),ISNUMBER(SEARCH("(heat)",C14)))),Parameters!$B$4,IF(AND(B14="stuff",ISNUMBER(SEARCH("(blunt)",C14))),Parameters!$B$6,1))),2)</f>
        <v/>
      </c>
    </row>
    <row r="15">
      <c r="A15" s="6" t="inlineStr">
        <is>
          <t>MeleeWeapon_Knife</t>
        </is>
      </c>
      <c r="B15" s="6" t="inlineStr">
        <is>
          <t>stuff</t>
        </is>
      </c>
      <c r="C15" s="6" t="inlineStr">
        <is>
          <t>Cut(sharp)</t>
        </is>
      </c>
      <c r="D15" s="7" t="n">
        <v>12</v>
      </c>
      <c r="E15" s="7">
        <f>ROUND(D15*Parameters!$B$2*IF(AND(B15="stuff",OR(ISNUMBER(SEARCH("(sharp)",C15)),ISNUMBER(SEARCH("(heat)",C15)))),Edit_Values!$B$2,IF(AND(B15="stuff",ISNUMBER(SEARCH("(blunt)",C15))),Edit_Values!$B$4,1))*Parameters!$B$7,2)</f>
        <v/>
      </c>
      <c r="F15" s="7" t="n">
        <v>1.5</v>
      </c>
      <c r="G15" s="7">
        <f>ROUND((D15*IF(AND(B15="stuff",ISNUMBER(SEARCH("(sharp)",C15))),Parameters!$B$2*Parameters!$B$3,IF(AND(B15="stuff",ISNUMBER(SEARCH("(blunt)",C15))),Parameters!$B$2*Parameters!$B$5,Parameters!$B$2)))/(F15*IF(AND(B15="stuff",OR(ISNUMBER(SEARCH("(sharp)",C15)),ISNUMBER(SEARCH("(heat)",C15)))),Parameters!$B$4,IF(AND(B15="stuff",ISNUMBER(SEARCH("(blunt)",C15))),Parameters!$B$6,1))),2)</f>
        <v/>
      </c>
    </row>
    <row r="16">
      <c r="A16" s="6" t="inlineStr">
        <is>
          <t>MeleeWeapon_Knife</t>
        </is>
      </c>
      <c r="B16" s="6" t="inlineStr">
        <is>
          <t>stuff</t>
        </is>
      </c>
      <c r="C16" s="6" t="inlineStr">
        <is>
          <t>Stab(sharp)</t>
        </is>
      </c>
      <c r="D16" s="7" t="n">
        <v>13</v>
      </c>
      <c r="E16" s="7">
        <f>ROUND(D16*Parameters!$B$2*IF(AND(B16="stuff",OR(ISNUMBER(SEARCH("(sharp)",C16)),ISNUMBER(SEARCH("(heat)",C16)))),Edit_Values!$B$2,IF(AND(B16="stuff",ISNUMBER(SEARCH("(blunt)",C16))),Edit_Values!$B$4,1))*Parameters!$B$7,2)</f>
        <v/>
      </c>
      <c r="F16" s="7" t="n">
        <v>2</v>
      </c>
      <c r="G16" s="7">
        <f>ROUND((D16*IF(AND(B16="stuff",ISNUMBER(SEARCH("(sharp)",C16))),Parameters!$B$2*Parameters!$B$3,IF(AND(B16="stuff",ISNUMBER(SEARCH("(blunt)",C16))),Parameters!$B$2*Parameters!$B$5,Parameters!$B$2)))/(F16*IF(AND(B16="stuff",OR(ISNUMBER(SEARCH("(sharp)",C16)),ISNUMBER(SEARCH("(heat)",C16)))),Parameters!$B$4,IF(AND(B16="stuff",ISNUMBER(SEARCH("(blunt)",C16))),Parameters!$B$6,1))),2)</f>
        <v/>
      </c>
    </row>
    <row r="17">
      <c r="A17" s="6" t="inlineStr">
        <is>
          <t>MeleeWeapon_Ikwa</t>
        </is>
      </c>
      <c r="B17" s="6" t="inlineStr">
        <is>
          <t>stuff</t>
        </is>
      </c>
      <c r="C17" s="6" t="inlineStr">
        <is>
          <t>Blunt(blunt); Poke(blunt)</t>
        </is>
      </c>
      <c r="D17" s="7" t="n">
        <v>9</v>
      </c>
      <c r="E17" s="7">
        <f>ROUND(D17*Parameters!$B$2*IF(AND(B17="stuff",OR(ISNUMBER(SEARCH("(sharp)",C17)),ISNUMBER(SEARCH("(heat)",C17)))),Edit_Values!$B$2,IF(AND(B17="stuff",ISNUMBER(SEARCH("(blunt)",C17))),Edit_Values!$B$4,1))*Parameters!$B$7,2)</f>
        <v/>
      </c>
      <c r="F17" s="7" t="n">
        <v>2</v>
      </c>
      <c r="G17" s="7">
        <f>ROUND((D17*IF(AND(B17="stuff",ISNUMBER(SEARCH("(sharp)",C17))),Parameters!$B$2*Parameters!$B$3,IF(AND(B17="stuff",ISNUMBER(SEARCH("(blunt)",C17))),Parameters!$B$2*Parameters!$B$5,Parameters!$B$2)))/(F17*IF(AND(B17="stuff",OR(ISNUMBER(SEARCH("(sharp)",C17)),ISNUMBER(SEARCH("(heat)",C17)))),Parameters!$B$4,IF(AND(B17="stuff",ISNUMBER(SEARCH("(blunt)",C17))),Parameters!$B$6,1))),2)</f>
        <v/>
      </c>
    </row>
    <row r="18">
      <c r="A18" s="6" t="inlineStr">
        <is>
          <t>MeleeWeapon_Ikwa</t>
        </is>
      </c>
      <c r="B18" s="6" t="inlineStr">
        <is>
          <t>stuff</t>
        </is>
      </c>
      <c r="C18" s="6" t="inlineStr">
        <is>
          <t>Stab(sharp)</t>
        </is>
      </c>
      <c r="D18" s="7" t="n">
        <v>15</v>
      </c>
      <c r="E18" s="7">
        <f>ROUND(D18*Parameters!$B$2*IF(AND(B18="stuff",OR(ISNUMBER(SEARCH("(sharp)",C18)),ISNUMBER(SEARCH("(heat)",C18)))),Edit_Values!$B$2,IF(AND(B18="stuff",ISNUMBER(SEARCH("(blunt)",C18))),Edit_Values!$B$4,1))*Parameters!$B$7,2)</f>
        <v/>
      </c>
      <c r="F18" s="7" t="n">
        <v>2</v>
      </c>
      <c r="G18" s="7">
        <f>ROUND((D18*IF(AND(B18="stuff",ISNUMBER(SEARCH("(sharp)",C18))),Parameters!$B$2*Parameters!$B$3,IF(AND(B18="stuff",ISNUMBER(SEARCH("(blunt)",C18))),Parameters!$B$2*Parameters!$B$5,Parameters!$B$2)))/(F18*IF(AND(B18="stuff",OR(ISNUMBER(SEARCH("(sharp)",C18)),ISNUMBER(SEARCH("(heat)",C18)))),Parameters!$B$4,IF(AND(B18="stuff",ISNUMBER(SEARCH("(blunt)",C18))),Parameters!$B$6,1))),2)</f>
        <v/>
      </c>
    </row>
    <row r="19">
      <c r="A19" s="6" t="inlineStr">
        <is>
          <t>MeleeWeapon_Ikwa</t>
        </is>
      </c>
      <c r="B19" s="6" t="inlineStr">
        <is>
          <t>stuff</t>
        </is>
      </c>
      <c r="C19" s="6" t="inlineStr">
        <is>
          <t>Cut(sharp)</t>
        </is>
      </c>
      <c r="D19" s="7" t="n">
        <v>15</v>
      </c>
      <c r="E19" s="7">
        <f>ROUND(D19*Parameters!$B$2*IF(AND(B19="stuff",OR(ISNUMBER(SEARCH("(sharp)",C19)),ISNUMBER(SEARCH("(heat)",C19)))),Edit_Values!$B$2,IF(AND(B19="stuff",ISNUMBER(SEARCH("(blunt)",C19))),Edit_Values!$B$4,1))*Parameters!$B$7,2)</f>
        <v/>
      </c>
      <c r="F19" s="7" t="n">
        <v>2</v>
      </c>
      <c r="G19" s="7">
        <f>ROUND((D19*IF(AND(B19="stuff",ISNUMBER(SEARCH("(sharp)",C19))),Parameters!$B$2*Parameters!$B$3,IF(AND(B19="stuff",ISNUMBER(SEARCH("(blunt)",C19))),Parameters!$B$2*Parameters!$B$5,Parameters!$B$2)))/(F19*IF(AND(B19="stuff",OR(ISNUMBER(SEARCH("(sharp)",C19)),ISNUMBER(SEARCH("(heat)",C19)))),Parameters!$B$4,IF(AND(B19="stuff",ISNUMBER(SEARCH("(blunt)",C19))),Parameters!$B$6,1))),2)</f>
        <v/>
      </c>
    </row>
    <row r="20">
      <c r="A20" s="6" t="inlineStr">
        <is>
          <t>MeleeWeapon_Spear</t>
        </is>
      </c>
      <c r="B20" s="6" t="inlineStr">
        <is>
          <t>stuff</t>
        </is>
      </c>
      <c r="C20" s="6" t="inlineStr">
        <is>
          <t>Blunt(blunt); Poke(blunt)</t>
        </is>
      </c>
      <c r="D20" s="7" t="n">
        <v>13</v>
      </c>
      <c r="E20" s="7">
        <f>ROUND(D20*Parameters!$B$2*IF(AND(B20="stuff",OR(ISNUMBER(SEARCH("(sharp)",C20)),ISNUMBER(SEARCH("(heat)",C20)))),Edit_Values!$B$2,IF(AND(B20="stuff",ISNUMBER(SEARCH("(blunt)",C20))),Edit_Values!$B$4,1))*Parameters!$B$7,2)</f>
        <v/>
      </c>
      <c r="F20" s="7" t="n">
        <v>2.6</v>
      </c>
      <c r="G20" s="7">
        <f>ROUND((D20*IF(AND(B20="stuff",ISNUMBER(SEARCH("(sharp)",C20))),Parameters!$B$2*Parameters!$B$3,IF(AND(B20="stuff",ISNUMBER(SEARCH("(blunt)",C20))),Parameters!$B$2*Parameters!$B$5,Parameters!$B$2)))/(F20*IF(AND(B20="stuff",OR(ISNUMBER(SEARCH("(sharp)",C20)),ISNUMBER(SEARCH("(heat)",C20)))),Parameters!$B$4,IF(AND(B20="stuff",ISNUMBER(SEARCH("(blunt)",C20))),Parameters!$B$6,1))),2)</f>
        <v/>
      </c>
    </row>
    <row r="21">
      <c r="A21" s="6" t="inlineStr">
        <is>
          <t>MeleeWeapon_Spear</t>
        </is>
      </c>
      <c r="B21" s="6" t="inlineStr">
        <is>
          <t>stuff</t>
        </is>
      </c>
      <c r="C21" s="6" t="inlineStr">
        <is>
          <t>Stab(sharp)</t>
        </is>
      </c>
      <c r="D21" s="7" t="n">
        <v>23</v>
      </c>
      <c r="E21" s="7" t="n">
        <v>0.82</v>
      </c>
      <c r="F21" s="7" t="n">
        <v>2.6</v>
      </c>
      <c r="G21" s="7">
        <f>ROUND((D21*IF(AND(B21="stuff",ISNUMBER(SEARCH("(sharp)",C21))),Parameters!$B$2*Parameters!$B$3,IF(AND(B21="stuff",ISNUMBER(SEARCH("(blunt)",C21))),Parameters!$B$2*Parameters!$B$5,Parameters!$B$2)))/(F21*IF(AND(B21="stuff",OR(ISNUMBER(SEARCH("(sharp)",C21)),ISNUMBER(SEARCH("(heat)",C21)))),Parameters!$B$4,IF(AND(B21="stuff",ISNUMBER(SEARCH("(blunt)",C21))),Parameters!$B$6,1))),2)</f>
        <v/>
      </c>
    </row>
    <row r="22">
      <c r="A22" s="6" t="inlineStr">
        <is>
          <t>MeleeWeapon_MonoSwordBladelink</t>
        </is>
      </c>
      <c r="B22" s="6" t="inlineStr">
        <is>
          <t>생산 불가</t>
        </is>
      </c>
      <c r="C22" s="6" t="inlineStr">
        <is>
          <t>Blunt(blunt)</t>
        </is>
      </c>
      <c r="D22" s="7" t="n">
        <v>12</v>
      </c>
      <c r="E22" s="7">
        <f>ROUND(D22*Parameters!$B$2*IF(AND(B22="stuff",OR(ISNUMBER(SEARCH("(sharp)",C22)),ISNUMBER(SEARCH("(heat)",C22)))),Edit_Values!$B$2,IF(AND(B22="stuff",ISNUMBER(SEARCH("(blunt)",C22))),Edit_Values!$B$4,1))*Parameters!$B$7,2)</f>
        <v/>
      </c>
      <c r="F22" s="7" t="n">
        <v>1.6</v>
      </c>
      <c r="G22" s="7">
        <f>ROUND((D22*IF(AND(B22="stuff",ISNUMBER(SEARCH("(sharp)",C22))),Parameters!$B$2*Parameters!$B$3,IF(AND(B22="stuff",ISNUMBER(SEARCH("(blunt)",C22))),Parameters!$B$2*Parameters!$B$5,Parameters!$B$2)))/(F22*IF(AND(B22="stuff",OR(ISNUMBER(SEARCH("(sharp)",C22)),ISNUMBER(SEARCH("(heat)",C22)))),Parameters!$B$4,IF(AND(B22="stuff",ISNUMBER(SEARCH("(blunt)",C22))),Parameters!$B$6,1))),2)</f>
        <v/>
      </c>
    </row>
    <row r="23">
      <c r="A23" s="6" t="inlineStr">
        <is>
          <t>MeleeWeapon_MonoSwordBladelink</t>
        </is>
      </c>
      <c r="B23" s="6" t="inlineStr">
        <is>
          <t>생산 불가</t>
        </is>
      </c>
      <c r="C23" s="6" t="inlineStr">
        <is>
          <t>Stab(sharp)</t>
        </is>
      </c>
      <c r="D23" s="7" t="n">
        <v>27</v>
      </c>
      <c r="E23" s="7" t="n">
        <v>1.48</v>
      </c>
      <c r="F23" s="7" t="n">
        <v>1.6</v>
      </c>
      <c r="G23" s="7">
        <f>ROUND((D23*IF(AND(B23="stuff",ISNUMBER(SEARCH("(sharp)",C23))),Parameters!$B$2*Parameters!$B$3,IF(AND(B23="stuff",ISNUMBER(SEARCH("(blunt)",C23))),Parameters!$B$2*Parameters!$B$5,Parameters!$B$2)))/(F23*IF(AND(B23="stuff",OR(ISNUMBER(SEARCH("(sharp)",C23)),ISNUMBER(SEARCH("(heat)",C23)))),Parameters!$B$4,IF(AND(B23="stuff",ISNUMBER(SEARCH("(blunt)",C23))),Parameters!$B$6,1))),2)</f>
        <v/>
      </c>
    </row>
    <row r="24">
      <c r="A24" s="6" t="inlineStr">
        <is>
          <t>MeleeWeapon_MonoSwordBladelink</t>
        </is>
      </c>
      <c r="B24" s="6" t="inlineStr">
        <is>
          <t>생산 불가</t>
        </is>
      </c>
      <c r="C24" s="6" t="inlineStr">
        <is>
          <t>Cut(sharp)</t>
        </is>
      </c>
      <c r="D24" s="7" t="n">
        <v>27</v>
      </c>
      <c r="E24" s="7" t="n">
        <v>1.48</v>
      </c>
      <c r="F24" s="7" t="n">
        <v>1.6</v>
      </c>
      <c r="G24" s="7">
        <f>ROUND((D24*IF(AND(B24="stuff",ISNUMBER(SEARCH("(sharp)",C24))),Parameters!$B$2*Parameters!$B$3,IF(AND(B24="stuff",ISNUMBER(SEARCH("(blunt)",C24))),Parameters!$B$2*Parameters!$B$5,Parameters!$B$2)))/(F24*IF(AND(B24="stuff",OR(ISNUMBER(SEARCH("(sharp)",C24)),ISNUMBER(SEARCH("(heat)",C24)))),Parameters!$B$4,IF(AND(B24="stuff",ISNUMBER(SEARCH("(blunt)",C24))),Parameters!$B$6,1))),2)</f>
        <v/>
      </c>
    </row>
    <row r="25">
      <c r="A25" s="6" t="inlineStr">
        <is>
          <t>MeleeWeapon_ZeusHammerBladelink</t>
        </is>
      </c>
      <c r="B25" s="6" t="inlineStr">
        <is>
          <t>생산 불가</t>
        </is>
      </c>
      <c r="C25" s="6" t="inlineStr">
        <is>
          <t>Poke(blunt)</t>
        </is>
      </c>
      <c r="D25" s="7" t="n">
        <v>15</v>
      </c>
      <c r="E25" s="7">
        <f>ROUND(D25*Parameters!$B$2*IF(AND(B25="stuff",OR(ISNUMBER(SEARCH("(sharp)",C25)),ISNUMBER(SEARCH("(heat)",C25)))),Edit_Values!$B$2,IF(AND(B25="stuff",ISNUMBER(SEARCH("(blunt)",C25))),Edit_Values!$B$4,1))*Parameters!$B$7,2)</f>
        <v/>
      </c>
      <c r="F25" s="7" t="n">
        <v>1.6</v>
      </c>
      <c r="G25" s="7">
        <f>ROUND((D25*IF(AND(B25="stuff",ISNUMBER(SEARCH("(sharp)",C25))),Parameters!$B$2*Parameters!$B$3,IF(AND(B25="stuff",ISNUMBER(SEARCH("(blunt)",C25))),Parameters!$B$2*Parameters!$B$5,Parameters!$B$2)))/(F25*IF(AND(B25="stuff",OR(ISNUMBER(SEARCH("(sharp)",C25)),ISNUMBER(SEARCH("(heat)",C25)))),Parameters!$B$4,IF(AND(B25="stuff",ISNUMBER(SEARCH("(blunt)",C25))),Parameters!$B$6,1))),2)</f>
        <v/>
      </c>
    </row>
    <row r="26">
      <c r="A26" s="6" t="inlineStr">
        <is>
          <t>MeleeWeapon_ZeusHammerBladelink</t>
        </is>
      </c>
      <c r="B26" s="6" t="inlineStr">
        <is>
          <t>생산 불가</t>
        </is>
      </c>
      <c r="C26" s="6" t="inlineStr">
        <is>
          <t>Blunt(blunt)+EMP(sharp)</t>
        </is>
      </c>
      <c r="D26" s="7" t="n">
        <v>31</v>
      </c>
      <c r="E26" s="7">
        <f>ROUND(D26*Parameters!$B$2*IF(AND(B26="stuff",OR(ISNUMBER(SEARCH("(sharp)",C26)),ISNUMBER(SEARCH("(heat)",C26)))),Edit_Values!$B$2,IF(AND(B26="stuff",ISNUMBER(SEARCH("(blunt)",C26))),Edit_Values!$B$4,1))*Parameters!$B$7,2)</f>
        <v/>
      </c>
      <c r="F26" s="7" t="n">
        <v>2.2</v>
      </c>
      <c r="G26" s="7">
        <f>ROUND((D26*IF(AND(B26="stuff",ISNUMBER(SEARCH("(sharp)",C26))),Parameters!$B$2*Parameters!$B$3,IF(AND(B26="stuff",ISNUMBER(SEARCH("(blunt)",C26))),Parameters!$B$2*Parameters!$B$5,Parameters!$B$2)))/(F26*IF(AND(B26="stuff",OR(ISNUMBER(SEARCH("(sharp)",C26)),ISNUMBER(SEARCH("(heat)",C26)))),Parameters!$B$4,IF(AND(B26="stuff",ISNUMBER(SEARCH("(blunt)",C26))),Parameters!$B$6,1))),2)</f>
        <v/>
      </c>
    </row>
    <row r="27">
      <c r="A27" s="6" t="inlineStr">
        <is>
          <t>MeleeWeapon_PlasmaSwordBladelink</t>
        </is>
      </c>
      <c r="B27" s="6" t="inlineStr">
        <is>
          <t>생산 불가</t>
        </is>
      </c>
      <c r="C27" s="6" t="inlineStr">
        <is>
          <t>Blunt(blunt)</t>
        </is>
      </c>
      <c r="D27" s="7" t="n">
        <v>12</v>
      </c>
      <c r="E27" s="7">
        <f>ROUND(D27*Parameters!$B$2*IF(AND(B27="stuff",OR(ISNUMBER(SEARCH("(sharp)",C27)),ISNUMBER(SEARCH("(heat)",C27)))),Edit_Values!$B$2,IF(AND(B27="stuff",ISNUMBER(SEARCH("(blunt)",C27))),Edit_Values!$B$4,1))*Parameters!$B$7,2)</f>
        <v/>
      </c>
      <c r="F27" s="7" t="n">
        <v>1.6</v>
      </c>
      <c r="G27" s="7">
        <f>ROUND((D27*IF(AND(B27="stuff",ISNUMBER(SEARCH("(sharp)",C27))),Parameters!$B$2*Parameters!$B$3,IF(AND(B27="stuff",ISNUMBER(SEARCH("(blunt)",C27))),Parameters!$B$2*Parameters!$B$5,Parameters!$B$2)))/(F27*IF(AND(B27="stuff",OR(ISNUMBER(SEARCH("(sharp)",C27)),ISNUMBER(SEARCH("(heat)",C27)))),Parameters!$B$4,IF(AND(B27="stuff",ISNUMBER(SEARCH("(blunt)",C27))),Parameters!$B$6,1))),2)</f>
        <v/>
      </c>
    </row>
    <row r="28">
      <c r="A28" s="6" t="inlineStr">
        <is>
          <t>MeleeWeapon_PlasmaSwordBladelink</t>
        </is>
      </c>
      <c r="B28" s="6" t="inlineStr">
        <is>
          <t>생산 불가</t>
        </is>
      </c>
      <c r="C28" s="6" t="inlineStr">
        <is>
          <t>Stab(sharp)+Flame(heat)</t>
        </is>
      </c>
      <c r="D28" s="7" t="n">
        <v>23</v>
      </c>
      <c r="E28" s="7">
        <f>ROUND(D28*Parameters!$B$2*IF(AND(B28="stuff",OR(ISNUMBER(SEARCH("(sharp)",C28)),ISNUMBER(SEARCH("(heat)",C28)))),Edit_Values!$B$2,IF(AND(B28="stuff",ISNUMBER(SEARCH("(blunt)",C28))),Edit_Values!$B$4,1))*Parameters!$B$7,2)</f>
        <v/>
      </c>
      <c r="F28" s="7" t="n">
        <v>2</v>
      </c>
      <c r="G28" s="7">
        <f>ROUND((D28*IF(AND(B28="stuff",ISNUMBER(SEARCH("(sharp)",C28))),Parameters!$B$2*Parameters!$B$3,IF(AND(B28="stuff",ISNUMBER(SEARCH("(blunt)",C28))),Parameters!$B$2*Parameters!$B$5,Parameters!$B$2)))/(F28*IF(AND(B28="stuff",OR(ISNUMBER(SEARCH("(sharp)",C28)),ISNUMBER(SEARCH("(heat)",C28)))),Parameters!$B$4,IF(AND(B28="stuff",ISNUMBER(SEARCH("(blunt)",C28))),Parameters!$B$6,1))),2)</f>
        <v/>
      </c>
    </row>
    <row r="29">
      <c r="A29" s="6" t="inlineStr">
        <is>
          <t>MeleeWeapon_PlasmaSwordBladelink</t>
        </is>
      </c>
      <c r="B29" s="6" t="inlineStr">
        <is>
          <t>생산 불가</t>
        </is>
      </c>
      <c r="C29" s="6" t="inlineStr">
        <is>
          <t>Cut(sharp)+Flame(heat)</t>
        </is>
      </c>
      <c r="D29" s="7" t="n">
        <v>23</v>
      </c>
      <c r="E29" s="7">
        <f>ROUND(D29*Parameters!$B$2*IF(AND(B29="stuff",OR(ISNUMBER(SEARCH("(sharp)",C29)),ISNUMBER(SEARCH("(heat)",C29)))),Edit_Values!$B$2,IF(AND(B29="stuff",ISNUMBER(SEARCH("(blunt)",C29))),Edit_Values!$B$4,1))*Parameters!$B$7,2)</f>
        <v/>
      </c>
      <c r="F29" s="7" t="n">
        <v>2</v>
      </c>
      <c r="G29" s="7">
        <f>ROUND((D29*IF(AND(B29="stuff",ISNUMBER(SEARCH("(sharp)",C29))),Parameters!$B$2*Parameters!$B$3,IF(AND(B29="stuff",ISNUMBER(SEARCH("(blunt)",C29))),Parameters!$B$2*Parameters!$B$5,Parameters!$B$2)))/(F29*IF(AND(B29="stuff",OR(ISNUMBER(SEARCH("(sharp)",C29)),ISNUMBER(SEARCH("(heat)",C29)))),Parameters!$B$4,IF(AND(B29="stuff",ISNUMBER(SEARCH("(blunt)",C29))),Parameters!$B$6,1))),2)</f>
        <v/>
      </c>
    </row>
    <row r="30">
      <c r="A30" s="6" t="inlineStr">
        <is>
          <t>MeleeWeapon_Axe</t>
        </is>
      </c>
      <c r="B30" s="6" t="inlineStr">
        <is>
          <t>stuff</t>
        </is>
      </c>
      <c r="C30" s="6" t="inlineStr">
        <is>
          <t>Poke(blunt)</t>
        </is>
      </c>
      <c r="D30" s="7" t="n">
        <v>9</v>
      </c>
      <c r="E30" s="7">
        <f>ROUND(D30*Parameters!$B$2*IF(AND(B30="stuff",OR(ISNUMBER(SEARCH("(sharp)",C30)),ISNUMBER(SEARCH("(heat)",C30)))),Edit_Values!$B$2,IF(AND(B30="stuff",ISNUMBER(SEARCH("(blunt)",C30))),Edit_Values!$B$4,1))*Parameters!$B$7,2)</f>
        <v/>
      </c>
      <c r="F30" s="7" t="n">
        <v>2</v>
      </c>
      <c r="G30" s="7">
        <f>ROUND((D30*IF(AND(B30="stuff",ISNUMBER(SEARCH("(sharp)",C30))),Parameters!$B$2*Parameters!$B$3,IF(AND(B30="stuff",ISNUMBER(SEARCH("(blunt)",C30))),Parameters!$B$2*Parameters!$B$5,Parameters!$B$2)))/(F30*IF(AND(B30="stuff",OR(ISNUMBER(SEARCH("(sharp)",C30)),ISNUMBER(SEARCH("(heat)",C30)))),Parameters!$B$4,IF(AND(B30="stuff",ISNUMBER(SEARCH("(blunt)",C30))),Parameters!$B$6,1))),2)</f>
        <v/>
      </c>
    </row>
    <row r="31">
      <c r="A31" s="6" t="inlineStr">
        <is>
          <t>MeleeWeapon_Axe</t>
        </is>
      </c>
      <c r="B31" s="6" t="inlineStr">
        <is>
          <t>stuff</t>
        </is>
      </c>
      <c r="C31" s="6" t="inlineStr">
        <is>
          <t>Cut(sharp)</t>
        </is>
      </c>
      <c r="D31" s="7" t="n">
        <v>15</v>
      </c>
      <c r="E31" s="7">
        <f>ROUND(D31*Parameters!$B$2*IF(AND(B31="stuff",OR(ISNUMBER(SEARCH("(sharp)",C31)),ISNUMBER(SEARCH("(heat)",C31)))),Edit_Values!$B$2,IF(AND(B31="stuff",ISNUMBER(SEARCH("(blunt)",C31))),Edit_Values!$B$4,1))*Parameters!$B$7,2)</f>
        <v/>
      </c>
      <c r="F31" s="7" t="n">
        <v>2</v>
      </c>
      <c r="G31" s="7">
        <f>ROUND((D31*IF(AND(B31="stuff",ISNUMBER(SEARCH("(sharp)",C31))),Parameters!$B$2*Parameters!$B$3,IF(AND(B31="stuff",ISNUMBER(SEARCH("(blunt)",C31))),Parameters!$B$2*Parameters!$B$5,Parameters!$B$2)))/(F31*IF(AND(B31="stuff",OR(ISNUMBER(SEARCH("(sharp)",C31)),ISNUMBER(SEARCH("(heat)",C31)))),Parameters!$B$4,IF(AND(B31="stuff",ISNUMBER(SEARCH("(blunt)",C31))),Parameters!$B$6,1))),2)</f>
        <v/>
      </c>
    </row>
    <row r="32">
      <c r="A32" s="6" t="inlineStr">
        <is>
          <t>MeleeWeapon_Warhammer</t>
        </is>
      </c>
      <c r="B32" s="6" t="inlineStr">
        <is>
          <t>stuff</t>
        </is>
      </c>
      <c r="C32" s="6" t="inlineStr">
        <is>
          <t>Poke(blunt)</t>
        </is>
      </c>
      <c r="D32" s="7" t="n">
        <v>11</v>
      </c>
      <c r="E32" s="7">
        <f>ROUND(D32*Parameters!$B$2*IF(AND(B32="stuff",OR(ISNUMBER(SEARCH("(sharp)",C32)),ISNUMBER(SEARCH("(heat)",C32)))),Edit_Values!$B$2,IF(AND(B32="stuff",ISNUMBER(SEARCH("(blunt)",C32))),Edit_Values!$B$4,1))*Parameters!$B$7,2)</f>
        <v/>
      </c>
      <c r="F32" s="7" t="n">
        <v>2.6</v>
      </c>
      <c r="G32" s="7">
        <f>ROUND((D32*IF(AND(B32="stuff",ISNUMBER(SEARCH("(sharp)",C32))),Parameters!$B$2*Parameters!$B$3,IF(AND(B32="stuff",ISNUMBER(SEARCH("(blunt)",C32))),Parameters!$B$2*Parameters!$B$5,Parameters!$B$2)))/(F32*IF(AND(B32="stuff",OR(ISNUMBER(SEARCH("(sharp)",C32)),ISNUMBER(SEARCH("(heat)",C32)))),Parameters!$B$4,IF(AND(B32="stuff",ISNUMBER(SEARCH("(blunt)",C32))),Parameters!$B$6,1))),2)</f>
        <v/>
      </c>
    </row>
    <row r="33">
      <c r="A33" s="6" t="inlineStr">
        <is>
          <t>MeleeWeapon_Warhammer</t>
        </is>
      </c>
      <c r="B33" s="6" t="inlineStr">
        <is>
          <t>stuff</t>
        </is>
      </c>
      <c r="C33" s="6" t="inlineStr">
        <is>
          <t>Blunt(blunt)</t>
        </is>
      </c>
      <c r="D33" s="7" t="n">
        <v>20</v>
      </c>
      <c r="E33" s="7">
        <f>ROUND(D33*Parameters!$B$2*IF(AND(B33="stuff",OR(ISNUMBER(SEARCH("(sharp)",C33)),ISNUMBER(SEARCH("(heat)",C33)))),Edit_Values!$B$2,IF(AND(B33="stuff",ISNUMBER(SEARCH("(blunt)",C33))),Edit_Values!$B$4,1))*Parameters!$B$7,2)</f>
        <v/>
      </c>
      <c r="F33" s="7" t="n">
        <v>2.6</v>
      </c>
      <c r="G33" s="7">
        <f>ROUND((D33*IF(AND(B33="stuff",ISNUMBER(SEARCH("(sharp)",C33))),Parameters!$B$2*Parameters!$B$3,IF(AND(B33="stuff",ISNUMBER(SEARCH("(blunt)",C33))),Parameters!$B$2*Parameters!$B$5,Parameters!$B$2)))/(F33*IF(AND(B33="stuff",OR(ISNUMBER(SEARCH("(sharp)",C33)),ISNUMBER(SEARCH("(heat)",C33)))),Parameters!$B$4,IF(AND(B33="stuff",ISNUMBER(SEARCH("(blunt)",C33))),Parameters!$B$6,1))),2)</f>
        <v/>
      </c>
    </row>
    <row r="34">
      <c r="A34" s="6" t="inlineStr">
        <is>
          <t>MeleeWeapon_MonoSword</t>
        </is>
      </c>
      <c r="B34" s="6" t="inlineStr">
        <is>
          <t>생산 불가</t>
        </is>
      </c>
      <c r="C34" s="6" t="inlineStr">
        <is>
          <t>Blunt(blunt)</t>
        </is>
      </c>
      <c r="D34" s="7" t="n">
        <v>12</v>
      </c>
      <c r="E34" s="7">
        <f>ROUND(D34*Parameters!$B$2*IF(AND(B34="stuff",OR(ISNUMBER(SEARCH("(sharp)",C34)),ISNUMBER(SEARCH("(heat)",C34)))),Edit_Values!$B$2,IF(AND(B34="stuff",ISNUMBER(SEARCH("(blunt)",C34))),Edit_Values!$B$4,1))*Parameters!$B$7,2)</f>
        <v/>
      </c>
      <c r="F34" s="7" t="n">
        <v>1.6</v>
      </c>
      <c r="G34" s="7">
        <f>ROUND((D34*IF(AND(B34="stuff",ISNUMBER(SEARCH("(sharp)",C34))),Parameters!$B$2*Parameters!$B$3,IF(AND(B34="stuff",ISNUMBER(SEARCH("(blunt)",C34))),Parameters!$B$2*Parameters!$B$5,Parameters!$B$2)))/(F34*IF(AND(B34="stuff",OR(ISNUMBER(SEARCH("(sharp)",C34)),ISNUMBER(SEARCH("(heat)",C34)))),Parameters!$B$4,IF(AND(B34="stuff",ISNUMBER(SEARCH("(blunt)",C34))),Parameters!$B$6,1))),2)</f>
        <v/>
      </c>
    </row>
    <row r="35">
      <c r="A35" s="6" t="inlineStr">
        <is>
          <t>MeleeWeapon_MonoSword</t>
        </is>
      </c>
      <c r="B35" s="6" t="inlineStr">
        <is>
          <t>생산 불가</t>
        </is>
      </c>
      <c r="C35" s="6" t="inlineStr">
        <is>
          <t>Stab(sharp)</t>
        </is>
      </c>
      <c r="D35" s="7" t="n">
        <v>25</v>
      </c>
      <c r="E35" s="7" t="n">
        <v>1.48</v>
      </c>
      <c r="F35" s="7" t="n">
        <v>2</v>
      </c>
      <c r="G35" s="7">
        <f>ROUND((D35*IF(AND(B35="stuff",ISNUMBER(SEARCH("(sharp)",C35))),Parameters!$B$2*Parameters!$B$3,IF(AND(B35="stuff",ISNUMBER(SEARCH("(blunt)",C35))),Parameters!$B$2*Parameters!$B$5,Parameters!$B$2)))/(F35*IF(AND(B35="stuff",OR(ISNUMBER(SEARCH("(sharp)",C35)),ISNUMBER(SEARCH("(heat)",C35)))),Parameters!$B$4,IF(AND(B35="stuff",ISNUMBER(SEARCH("(blunt)",C35))),Parameters!$B$6,1))),2)</f>
        <v/>
      </c>
    </row>
    <row r="36">
      <c r="A36" s="6" t="inlineStr">
        <is>
          <t>MeleeWeapon_MonoSword</t>
        </is>
      </c>
      <c r="B36" s="6" t="inlineStr">
        <is>
          <t>생산 불가</t>
        </is>
      </c>
      <c r="C36" s="6" t="inlineStr">
        <is>
          <t>Cut(sharp)</t>
        </is>
      </c>
      <c r="D36" s="7" t="n">
        <v>25</v>
      </c>
      <c r="E36" s="7" t="n">
        <v>1.48</v>
      </c>
      <c r="F36" s="7" t="n">
        <v>2</v>
      </c>
      <c r="G36" s="7">
        <f>ROUND((D36*IF(AND(B36="stuff",ISNUMBER(SEARCH("(sharp)",C36))),Parameters!$B$2*Parameters!$B$3,IF(AND(B36="stuff",ISNUMBER(SEARCH("(blunt)",C36))),Parameters!$B$2*Parameters!$B$5,Parameters!$B$2)))/(F36*IF(AND(B36="stuff",OR(ISNUMBER(SEARCH("(sharp)",C36)),ISNUMBER(SEARCH("(heat)",C36)))),Parameters!$B$4,IF(AND(B36="stuff",ISNUMBER(SEARCH("(blunt)",C36))),Parameters!$B$6,1))),2)</f>
        <v/>
      </c>
    </row>
    <row r="37">
      <c r="A37" s="6" t="inlineStr">
        <is>
          <t>MeleeWeapon_Zeushammer</t>
        </is>
      </c>
      <c r="B37" s="6" t="inlineStr">
        <is>
          <t>생산 불가</t>
        </is>
      </c>
      <c r="C37" s="6" t="inlineStr">
        <is>
          <t>Poke(blunt)</t>
        </is>
      </c>
      <c r="D37" s="7" t="n">
        <v>15</v>
      </c>
      <c r="E37" s="7">
        <f>ROUND(D37*Parameters!$B$2*IF(AND(B37="stuff",OR(ISNUMBER(SEARCH("(sharp)",C37)),ISNUMBER(SEARCH("(heat)",C37)))),Edit_Values!$B$2,IF(AND(B37="stuff",ISNUMBER(SEARCH("(blunt)",C37))),Edit_Values!$B$4,1))*Parameters!$B$7,2)</f>
        <v/>
      </c>
      <c r="F37" s="7" t="n">
        <v>2</v>
      </c>
      <c r="G37" s="7">
        <f>ROUND((D37*IF(AND(B37="stuff",ISNUMBER(SEARCH("(sharp)",C37))),Parameters!$B$2*Parameters!$B$3,IF(AND(B37="stuff",ISNUMBER(SEARCH("(blunt)",C37))),Parameters!$B$2*Parameters!$B$5,Parameters!$B$2)))/(F37*IF(AND(B37="stuff",OR(ISNUMBER(SEARCH("(sharp)",C37)),ISNUMBER(SEARCH("(heat)",C37)))),Parameters!$B$4,IF(AND(B37="stuff",ISNUMBER(SEARCH("(blunt)",C37))),Parameters!$B$6,1))),2)</f>
        <v/>
      </c>
    </row>
    <row r="38">
      <c r="A38" s="6" t="inlineStr">
        <is>
          <t>MeleeWeapon_Zeushammer</t>
        </is>
      </c>
      <c r="B38" s="6" t="inlineStr">
        <is>
          <t>생산 불가</t>
        </is>
      </c>
      <c r="C38" s="6" t="inlineStr">
        <is>
          <t>Blunt(blunt)+EMP(sharp)</t>
        </is>
      </c>
      <c r="D38" s="7" t="n">
        <v>31</v>
      </c>
      <c r="E38" s="7">
        <f>ROUND(D38*Parameters!$B$2*IF(AND(B38="stuff",OR(ISNUMBER(SEARCH("(sharp)",C38)),ISNUMBER(SEARCH("(heat)",C38)))),Edit_Values!$B$2,IF(AND(B38="stuff",ISNUMBER(SEARCH("(blunt)",C38))),Edit_Values!$B$4,1))*Parameters!$B$7,2)</f>
        <v/>
      </c>
      <c r="F38" s="7" t="n">
        <v>3</v>
      </c>
      <c r="G38" s="7">
        <f>ROUND((D38*IF(AND(B38="stuff",ISNUMBER(SEARCH("(sharp)",C38))),Parameters!$B$2*Parameters!$B$3,IF(AND(B38="stuff",ISNUMBER(SEARCH("(blunt)",C38))),Parameters!$B$2*Parameters!$B$5,Parameters!$B$2)))/(F38*IF(AND(B38="stuff",OR(ISNUMBER(SEARCH("(sharp)",C38)),ISNUMBER(SEARCH("(heat)",C38)))),Parameters!$B$4,IF(AND(B38="stuff",ISNUMBER(SEARCH("(blunt)",C38))),Parameters!$B$6,1))),2)</f>
        <v/>
      </c>
    </row>
    <row r="39">
      <c r="A39" s="6" t="inlineStr">
        <is>
          <t>MeleeWeapon_PlasmaSword</t>
        </is>
      </c>
      <c r="B39" s="6" t="inlineStr">
        <is>
          <t>생산 불가</t>
        </is>
      </c>
      <c r="C39" s="6" t="inlineStr">
        <is>
          <t>Blunt(blunt)</t>
        </is>
      </c>
      <c r="D39" s="7" t="n">
        <v>12</v>
      </c>
      <c r="E39" s="7">
        <f>ROUND(D39*Parameters!$B$2*IF(AND(B39="stuff",OR(ISNUMBER(SEARCH("(sharp)",C39)),ISNUMBER(SEARCH("(heat)",C39)))),Edit_Values!$B$2,IF(AND(B39="stuff",ISNUMBER(SEARCH("(blunt)",C39))),Edit_Values!$B$4,1))*Parameters!$B$7,2)</f>
        <v/>
      </c>
      <c r="F39" s="7" t="n">
        <v>2</v>
      </c>
      <c r="G39" s="7">
        <f>ROUND((D39*IF(AND(B39="stuff",ISNUMBER(SEARCH("(sharp)",C39))),Parameters!$B$2*Parameters!$B$3,IF(AND(B39="stuff",ISNUMBER(SEARCH("(blunt)",C39))),Parameters!$B$2*Parameters!$B$5,Parameters!$B$2)))/(F39*IF(AND(B39="stuff",OR(ISNUMBER(SEARCH("(sharp)",C39)),ISNUMBER(SEARCH("(heat)",C39)))),Parameters!$B$4,IF(AND(B39="stuff",ISNUMBER(SEARCH("(blunt)",C39))),Parameters!$B$6,1))),2)</f>
        <v/>
      </c>
    </row>
    <row r="40">
      <c r="A40" s="6" t="inlineStr">
        <is>
          <t>MeleeWeapon_PlasmaSword</t>
        </is>
      </c>
      <c r="B40" s="6" t="inlineStr">
        <is>
          <t>생산 불가</t>
        </is>
      </c>
      <c r="C40" s="6" t="inlineStr">
        <is>
          <t>Stab(sharp)+Flame(heat)</t>
        </is>
      </c>
      <c r="D40" s="7" t="n">
        <v>21</v>
      </c>
      <c r="E40" s="7">
        <f>ROUND(D40*Parameters!$B$2*IF(AND(B40="stuff",OR(ISNUMBER(SEARCH("(sharp)",C40)),ISNUMBER(SEARCH("(heat)",C40)))),Edit_Values!$B$2,IF(AND(B40="stuff",ISNUMBER(SEARCH("(blunt)",C40))),Edit_Values!$B$4,1))*Parameters!$B$7,2)</f>
        <v/>
      </c>
      <c r="F40" s="7" t="n">
        <v>2.6</v>
      </c>
      <c r="G40" s="7">
        <f>ROUND((D40*IF(AND(B40="stuff",ISNUMBER(SEARCH("(sharp)",C40))),Parameters!$B$2*Parameters!$B$3,IF(AND(B40="stuff",ISNUMBER(SEARCH("(blunt)",C40))),Parameters!$B$2*Parameters!$B$5,Parameters!$B$2)))/(F40*IF(AND(B40="stuff",OR(ISNUMBER(SEARCH("(sharp)",C40)),ISNUMBER(SEARCH("(heat)",C40)))),Parameters!$B$4,IF(AND(B40="stuff",ISNUMBER(SEARCH("(blunt)",C40))),Parameters!$B$6,1))),2)</f>
        <v/>
      </c>
    </row>
    <row r="41">
      <c r="A41" s="6" t="inlineStr">
        <is>
          <t>MeleeWeapon_PlasmaSword</t>
        </is>
      </c>
      <c r="B41" s="6" t="inlineStr">
        <is>
          <t>생산 불가</t>
        </is>
      </c>
      <c r="C41" s="6" t="inlineStr">
        <is>
          <t>Cut(sharp)+Flame(heat)</t>
        </is>
      </c>
      <c r="D41" s="7" t="n">
        <v>21</v>
      </c>
      <c r="E41" s="7">
        <f>ROUND(D41*Parameters!$B$2*IF(AND(B41="stuff",OR(ISNUMBER(SEARCH("(sharp)",C41)),ISNUMBER(SEARCH("(heat)",C41)))),Edit_Values!$B$2,IF(AND(B41="stuff",ISNUMBER(SEARCH("(blunt)",C41))),Edit_Values!$B$4,1))*Parameters!$B$7,2)</f>
        <v/>
      </c>
      <c r="F41" s="7" t="n">
        <v>2.6</v>
      </c>
      <c r="G41" s="7">
        <f>ROUND((D41*IF(AND(B41="stuff",ISNUMBER(SEARCH("(sharp)",C41))),Parameters!$B$2*Parameters!$B$3,IF(AND(B41="stuff",ISNUMBER(SEARCH("(blunt)",C41))),Parameters!$B$2*Parameters!$B$5,Parameters!$B$2)))/(F41*IF(AND(B41="stuff",OR(ISNUMBER(SEARCH("(sharp)",C41)),ISNUMBER(SEARCH("(heat)",C41)))),Parameters!$B$4,IF(AND(B41="stuff",ISNUMBER(SEARCH("(blunt)",C41))),Parameters!$B$6,1))),2)</f>
        <v/>
      </c>
    </row>
    <row r="42">
      <c r="A42" s="6" t="inlineStr">
        <is>
          <t>MeleeWeapon_PsyfocusStaff</t>
        </is>
      </c>
      <c r="B42" s="6" t="inlineStr">
        <is>
          <t>생산 불가</t>
        </is>
      </c>
      <c r="C42" s="6" t="inlineStr">
        <is>
          <t>Blunt(blunt)</t>
        </is>
      </c>
      <c r="D42" s="7" t="n">
        <v>12</v>
      </c>
      <c r="E42" s="7">
        <f>ROUND(D42*Parameters!$B$2*IF(AND(B42="stuff",OR(ISNUMBER(SEARCH("(sharp)",C42)),ISNUMBER(SEARCH("(heat)",C42)))),Edit_Values!$B$2,IF(AND(B42="stuff",ISNUMBER(SEARCH("(blunt)",C42))),Edit_Values!$B$4,1))*Parameters!$B$7,2)</f>
        <v/>
      </c>
      <c r="F42" s="7" t="n">
        <v>2.6</v>
      </c>
      <c r="G42" s="7">
        <f>ROUND((D42*IF(AND(B42="stuff",ISNUMBER(SEARCH("(sharp)",C42))),Parameters!$B$2*Parameters!$B$3,IF(AND(B42="stuff",ISNUMBER(SEARCH("(blunt)",C42))),Parameters!$B$2*Parameters!$B$5,Parameters!$B$2)))/(F42*IF(AND(B42="stuff",OR(ISNUMBER(SEARCH("(sharp)",C42)),ISNUMBER(SEARCH("(heat)",C42)))),Parameters!$B$4,IF(AND(B42="stuff",ISNUMBER(SEARCH("(blunt)",C42))),Parameters!$B$6,1))),2)</f>
        <v/>
      </c>
    </row>
    <row r="43">
      <c r="A43" s="6" t="inlineStr">
        <is>
          <t>MastodonTusk</t>
        </is>
      </c>
      <c r="B43" s="6" t="inlineStr">
        <is>
          <t>생산 불가</t>
        </is>
      </c>
      <c r="C43" s="6" t="inlineStr">
        <is>
          <t>Scratch(sharp); Stab(sharp)</t>
        </is>
      </c>
      <c r="D43" s="7" t="n">
        <v>20</v>
      </c>
      <c r="E43" s="7">
        <f>ROUND(D43*Parameters!$B$2*IF(AND(B43="stuff",OR(ISNUMBER(SEARCH("(sharp)",C43)),ISNUMBER(SEARCH("(heat)",C43)))),Edit_Values!$B$2,IF(AND(B43="stuff",ISNUMBER(SEARCH("(blunt)",C43))),Edit_Values!$B$4,1))*Parameters!$B$7,2)</f>
        <v/>
      </c>
      <c r="F43" s="7" t="n">
        <v>2.8</v>
      </c>
      <c r="G43" s="7">
        <f>ROUND((D43*IF(AND(B43="stuff",ISNUMBER(SEARCH("(sharp)",C43))),Parameters!$B$2*Parameters!$B$3,IF(AND(B43="stuff",ISNUMBER(SEARCH("(blunt)",C43))),Parameters!$B$2*Parameters!$B$5,Parameters!$B$2)))/(F43*IF(AND(B43="stuff",OR(ISNUMBER(SEARCH("(sharp)",C43)),ISNUMBER(SEARCH("(heat)",C43)))),Parameters!$B$4,IF(AND(B43="stuff",ISNUMBER(SEARCH("(blunt)",C43))),Parameters!$B$6,1))),2)</f>
        <v/>
      </c>
    </row>
    <row r="44">
      <c r="A44" s="6" t="inlineStr">
        <is>
          <t>MastodonTusk</t>
        </is>
      </c>
      <c r="B44" s="6" t="inlineStr">
        <is>
          <t>생산 불가</t>
        </is>
      </c>
      <c r="C44" s="6" t="inlineStr">
        <is>
          <t>Blunt(blunt)</t>
        </is>
      </c>
      <c r="D44" s="7" t="n">
        <v>10</v>
      </c>
      <c r="E44" s="7">
        <f>ROUND(D44*Parameters!$B$2*IF(AND(B44="stuff",OR(ISNUMBER(SEARCH("(sharp)",C44)),ISNUMBER(SEARCH("(heat)",C44)))),Edit_Values!$B$2,IF(AND(B44="stuff",ISNUMBER(SEARCH("(blunt)",C44))),Edit_Values!$B$4,1))*Parameters!$B$7,2)</f>
        <v/>
      </c>
      <c r="F44" s="7" t="n">
        <v>2.2</v>
      </c>
      <c r="G44" s="7">
        <f>ROUND((D44*IF(AND(B44="stuff",ISNUMBER(SEARCH("(sharp)",C44))),Parameters!$B$2*Parameters!$B$3,IF(AND(B44="stuff",ISNUMBER(SEARCH("(blunt)",C44))),Parameters!$B$2*Parameters!$B$5,Parameters!$B$2)))/(F44*IF(AND(B44="stuff",OR(ISNUMBER(SEARCH("(sharp)",C44)),ISNUMBER(SEARCH("(heat)",C44)))),Parameters!$B$4,IF(AND(B44="stuff",ISNUMBER(SEARCH("(blunt)",C44))),Parameters!$B$6,1))),2)</f>
        <v/>
      </c>
    </row>
    <row r="45">
      <c r="A45" s="6" t="inlineStr">
        <is>
          <t>AlphaThrumboHorn</t>
        </is>
      </c>
      <c r="B45" s="6" t="inlineStr">
        <is>
          <t>생산 불가</t>
        </is>
      </c>
      <c r="C45" s="6" t="inlineStr">
        <is>
          <t>Scratch(sharp); Stab(sharp)</t>
        </is>
      </c>
      <c r="D45" s="7" t="n">
        <v>32</v>
      </c>
      <c r="E45" s="7">
        <f>ROUND(D45*Parameters!$B$2*IF(AND(B45="stuff",OR(ISNUMBER(SEARCH("(sharp)",C45)),ISNUMBER(SEARCH("(heat)",C45)))),Edit_Values!$B$2,IF(AND(B45="stuff",ISNUMBER(SEARCH("(blunt)",C45))),Edit_Values!$B$4,1))*Parameters!$B$7,2)</f>
        <v/>
      </c>
      <c r="F45" s="7" t="n">
        <v>1.6</v>
      </c>
      <c r="G45" s="7">
        <f>ROUND((D45*IF(AND(B45="stuff",ISNUMBER(SEARCH("(sharp)",C45))),Parameters!$B$2*Parameters!$B$3,IF(AND(B45="stuff",ISNUMBER(SEARCH("(blunt)",C45))),Parameters!$B$2*Parameters!$B$5,Parameters!$B$2)))/(F45*IF(AND(B45="stuff",OR(ISNUMBER(SEARCH("(sharp)",C45)),ISNUMBER(SEARCH("(heat)",C45)))),Parameters!$B$4,IF(AND(B45="stuff",ISNUMBER(SEARCH("(blunt)",C45))),Parameters!$B$6,1))),2)</f>
        <v/>
      </c>
    </row>
    <row r="46">
      <c r="A46" s="6" t="inlineStr">
        <is>
          <t>AlphaThrumboHorn</t>
        </is>
      </c>
      <c r="B46" s="6" t="inlineStr">
        <is>
          <t>생산 불가</t>
        </is>
      </c>
      <c r="C46" s="6" t="inlineStr">
        <is>
          <t>Blunt(blunt)</t>
        </is>
      </c>
      <c r="D46" s="7" t="n">
        <v>9</v>
      </c>
      <c r="E46" s="7">
        <f>ROUND(D46*Parameters!$B$2*IF(AND(B46="stuff",OR(ISNUMBER(SEARCH("(sharp)",C46)),ISNUMBER(SEARCH("(heat)",C46)))),Edit_Values!$B$2,IF(AND(B46="stuff",ISNUMBER(SEARCH("(blunt)",C46))),Edit_Values!$B$4,1))*Parameters!$B$7,2)</f>
        <v/>
      </c>
      <c r="F46" s="7" t="n">
        <v>1.4</v>
      </c>
      <c r="G46" s="7">
        <f>ROUND((D46*IF(AND(B46="stuff",ISNUMBER(SEARCH("(sharp)",C46))),Parameters!$B$2*Parameters!$B$3,IF(AND(B46="stuff",ISNUMBER(SEARCH("(blunt)",C46))),Parameters!$B$2*Parameters!$B$5,Parameters!$B$2)))/(F46*IF(AND(B46="stuff",OR(ISNUMBER(SEARCH("(sharp)",C46)),ISNUMBER(SEARCH("(heat)",C46)))),Parameters!$B$4,IF(AND(B46="stuff",ISNUMBER(SEARCH("(blunt)",C46))),Parameters!$B$6,1))),2)</f>
        <v/>
      </c>
    </row>
  </sheetData>
  <autoFilter ref="A1:G4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selection activeCell="A1" sqref="A1"/>
    </sheetView>
  </sheetViews>
  <sheetFormatPr baseColWidth="8" defaultRowHeight="15"/>
  <cols>
    <col width="33" customWidth="1" min="1" max="1"/>
    <col width="13" customWidth="1" min="2" max="2"/>
    <col width="40" customWidth="1" min="3" max="3"/>
    <col width="8" customWidth="1" min="4" max="4"/>
    <col width="40" customWidth="1" min="5" max="5"/>
    <col width="11" customWidth="1" min="6" max="6"/>
    <col width="40" customWidth="1" min="7" max="7"/>
  </cols>
  <sheetData>
    <row r="1">
      <c r="A1" s="5" t="inlineStr">
        <is>
          <t>defName</t>
        </is>
      </c>
      <c r="B1" s="5" t="inlineStr">
        <is>
          <t>생산</t>
        </is>
      </c>
      <c r="C1" s="5" t="inlineStr">
        <is>
          <t>damageType</t>
        </is>
      </c>
      <c r="D1" s="5" t="inlineStr">
        <is>
          <t>power</t>
        </is>
      </c>
      <c r="E1" s="5" t="inlineStr">
        <is>
          <t>piercing</t>
        </is>
      </c>
      <c r="F1" s="5" t="inlineStr">
        <is>
          <t>cooldown</t>
        </is>
      </c>
      <c r="G1" s="5" t="inlineStr">
        <is>
          <t>DPS</t>
        </is>
      </c>
    </row>
    <row r="2">
      <c r="A2" s="6" t="inlineStr">
        <is>
          <t>RK_MagicWand</t>
        </is>
      </c>
      <c r="B2" s="6" t="inlineStr">
        <is>
          <t>Fixed Cost</t>
        </is>
      </c>
      <c r="C2" s="6" t="inlineStr">
        <is>
          <t>RK_ToolCapacity_MeleeExplosion(sharp)</t>
        </is>
      </c>
      <c r="D2" s="7" t="n">
        <v>5</v>
      </c>
      <c r="E2" s="7" t="n">
        <v>0.58</v>
      </c>
      <c r="F2" s="7" t="n">
        <v>1.5</v>
      </c>
      <c r="G2" s="7">
        <f>ROUND((D2*IF(AND(B2="stuff",ISNUMBER(SEARCH("(sharp)",C2))),Parameters!$B$2*Parameters!$B$3,IF(AND(B2="stuff",ISNUMBER(SEARCH("(blunt)",C2))),Parameters!$B$2*Parameters!$B$5,Parameters!$B$2)))/(F2*IF(AND(B2="stuff",OR(ISNUMBER(SEARCH("(sharp)",C2)),ISNUMBER(SEARCH("(heat)",C2)))),Parameters!$B$4,IF(AND(B2="stuff",ISNUMBER(SEARCH("(blunt)",C2))),Parameters!$B$6,1))),2)</f>
        <v/>
      </c>
    </row>
    <row r="3">
      <c r="A3" s="6" t="inlineStr">
        <is>
          <t>RK_MagicWand</t>
        </is>
      </c>
      <c r="B3" s="6" t="inlineStr">
        <is>
          <t>Fixed Cost</t>
        </is>
      </c>
      <c r="C3" s="6" t="inlineStr">
        <is>
          <t>RK_ToolCapacity_MeleeExplosion(sharp)</t>
        </is>
      </c>
      <c r="D3" s="7" t="n">
        <v>5</v>
      </c>
      <c r="E3" s="7" t="n">
        <v>0.58</v>
      </c>
      <c r="F3" s="7" t="n">
        <v>1.5</v>
      </c>
      <c r="G3" s="7">
        <f>ROUND((D3*IF(AND(B3="stuff",ISNUMBER(SEARCH("(sharp)",C3))),Parameters!$B$2*Parameters!$B$3,IF(AND(B3="stuff",ISNUMBER(SEARCH("(blunt)",C3))),Parameters!$B$2*Parameters!$B$5,Parameters!$B$2)))/(F3*IF(AND(B3="stuff",OR(ISNUMBER(SEARCH("(sharp)",C3)),ISNUMBER(SEARCH("(heat)",C3)))),Parameters!$B$4,IF(AND(B3="stuff",ISNUMBER(SEARCH("(blunt)",C3))),Parameters!$B$6,1))),2)</f>
        <v/>
      </c>
    </row>
    <row r="4">
      <c r="A4" s="6" t="inlineStr">
        <is>
          <t>RK_Weapon_Gunlance</t>
        </is>
      </c>
      <c r="B4" s="6" t="inlineStr">
        <is>
          <t>stuff</t>
        </is>
      </c>
      <c r="C4" s="6" t="inlineStr">
        <is>
          <t>Stab(sharp)</t>
        </is>
      </c>
      <c r="D4" s="7" t="n">
        <v>20</v>
      </c>
      <c r="E4" s="7">
        <f>ROUND(D4*Parameters!$B$2*IF(AND(B4="stuff",OR(ISNUMBER(SEARCH("(sharp)",C4)),ISNUMBER(SEARCH("(heat)",C4)))),Edit_Values!$B$2,IF(AND(B4="stuff",ISNUMBER(SEARCH("(blunt)",C4))),Edit_Values!$B$4,1))*Parameters!$B$7,2)</f>
        <v/>
      </c>
      <c r="F4" s="7" t="n">
        <v>3</v>
      </c>
      <c r="G4" s="7">
        <f>ROUND((D4*IF(AND(B4="stuff",ISNUMBER(SEARCH("(sharp)",C4))),Parameters!$B$2*Parameters!$B$3,IF(AND(B4="stuff",ISNUMBER(SEARCH("(blunt)",C4))),Parameters!$B$2*Parameters!$B$5,Parameters!$B$2)))/(F4*IF(AND(B4="stuff",OR(ISNUMBER(SEARCH("(sharp)",C4)),ISNUMBER(SEARCH("(heat)",C4)))),Parameters!$B$4,IF(AND(B4="stuff",ISNUMBER(SEARCH("(blunt)",C4))),Parameters!$B$6,1))),2)</f>
        <v/>
      </c>
    </row>
    <row r="5">
      <c r="A5" s="6" t="inlineStr">
        <is>
          <t>RK_Weapon_Gunlance</t>
        </is>
      </c>
      <c r="B5" s="6" t="inlineStr">
        <is>
          <t>stuff</t>
        </is>
      </c>
      <c r="C5" s="6" t="inlineStr">
        <is>
          <t>GunlanceShell_Normal(sharp)</t>
        </is>
      </c>
      <c r="D5" s="7" t="n">
        <v>25</v>
      </c>
      <c r="E5" s="7">
        <f>ROUND(D5*Parameters!$B$2*IF(AND(B5="stuff",OR(ISNUMBER(SEARCH("(sharp)",C5)),ISNUMBER(SEARCH("(heat)",C5)))),Edit_Values!$B$2,IF(AND(B5="stuff",ISNUMBER(SEARCH("(blunt)",C5))),Edit_Values!$B$4,1))*Parameters!$B$7,2)</f>
        <v/>
      </c>
      <c r="F5" s="7" t="n">
        <v>3</v>
      </c>
      <c r="G5" s="7">
        <f>ROUND((D5*IF(AND(B5="stuff",ISNUMBER(SEARCH("(sharp)",C5))),Parameters!$B$2*Parameters!$B$3,IF(AND(B5="stuff",ISNUMBER(SEARCH("(blunt)",C5))),Parameters!$B$2*Parameters!$B$5,Parameters!$B$2)))/(F5*IF(AND(B5="stuff",OR(ISNUMBER(SEARCH("(sharp)",C5)),ISNUMBER(SEARCH("(heat)",C5)))),Parameters!$B$4,IF(AND(B5="stuff",ISNUMBER(SEARCH("(blunt)",C5))),Parameters!$B$6,1))),2)</f>
        <v/>
      </c>
    </row>
    <row r="6">
      <c r="A6" s="6" t="inlineStr">
        <is>
          <t>RK_Weapon_ProtoChainSword</t>
        </is>
      </c>
      <c r="B6" s="6" t="inlineStr">
        <is>
          <t>Fixed Cost</t>
        </is>
      </c>
      <c r="C6" s="6" t="inlineStr">
        <is>
          <t>RK_ToolCapacity_ChainSword(sharp)</t>
        </is>
      </c>
      <c r="D6" s="7" t="n">
        <v>20</v>
      </c>
      <c r="E6" s="7" t="n">
        <v>1.15</v>
      </c>
      <c r="F6" s="7" t="n">
        <v>2</v>
      </c>
      <c r="G6" s="7">
        <f>ROUND((D6*IF(AND(B6="stuff",ISNUMBER(SEARCH("(sharp)",C6))),Parameters!$B$2*Parameters!$B$3,IF(AND(B6="stuff",ISNUMBER(SEARCH("(blunt)",C6))),Parameters!$B$2*Parameters!$B$5,Parameters!$B$2)))/(F6*IF(AND(B6="stuff",OR(ISNUMBER(SEARCH("(sharp)",C6)),ISNUMBER(SEARCH("(heat)",C6)))),Parameters!$B$4,IF(AND(B6="stuff",ISNUMBER(SEARCH("(blunt)",C6))),Parameters!$B$6,1))),2)</f>
        <v/>
      </c>
    </row>
    <row r="7">
      <c r="A7" s="6" t="inlineStr">
        <is>
          <t>RK_Weapon_ProtoChainSword</t>
        </is>
      </c>
      <c r="B7" s="6" t="inlineStr">
        <is>
          <t>Fixed Cost</t>
        </is>
      </c>
      <c r="C7" s="6" t="inlineStr">
        <is>
          <t>RK_ToolCapacity_ChainSword(sharp)</t>
        </is>
      </c>
      <c r="D7" s="7" t="n">
        <v>20</v>
      </c>
      <c r="E7" s="7" t="n">
        <v>1.15</v>
      </c>
      <c r="F7" s="7" t="n">
        <v>2</v>
      </c>
      <c r="G7" s="7">
        <f>ROUND((D7*IF(AND(B7="stuff",ISNUMBER(SEARCH("(sharp)",C7))),Parameters!$B$2*Parameters!$B$3,IF(AND(B7="stuff",ISNUMBER(SEARCH("(blunt)",C7))),Parameters!$B$2*Parameters!$B$5,Parameters!$B$2)))/(F7*IF(AND(B7="stuff",OR(ISNUMBER(SEARCH("(sharp)",C7)),ISNUMBER(SEARCH("(heat)",C7)))),Parameters!$B$4,IF(AND(B7="stuff",ISNUMBER(SEARCH("(blunt)",C7))),Parameters!$B$6,1))),2)</f>
        <v/>
      </c>
    </row>
    <row r="8">
      <c r="A8" s="6" t="inlineStr">
        <is>
          <t>RK_Weapon_ProtoFlameChainSword</t>
        </is>
      </c>
      <c r="B8" s="6" t="inlineStr">
        <is>
          <t>Fixed Cost</t>
        </is>
      </c>
      <c r="C8" s="6" t="inlineStr">
        <is>
          <t>RK_ToolCapacity_ChainSword(sharp)+Burn(heat)</t>
        </is>
      </c>
      <c r="D8" s="7" t="n">
        <v>20</v>
      </c>
      <c r="E8" s="7" t="n">
        <v>1.15</v>
      </c>
      <c r="F8" s="7" t="n">
        <v>2</v>
      </c>
      <c r="G8" s="7">
        <f>ROUND((D8*IF(AND(B8="stuff",ISNUMBER(SEARCH("(sharp)",C8))),Parameters!$B$2*Parameters!$B$3,IF(AND(B8="stuff",ISNUMBER(SEARCH("(blunt)",C8))),Parameters!$B$2*Parameters!$B$5,Parameters!$B$2)))/(F8*IF(AND(B8="stuff",OR(ISNUMBER(SEARCH("(sharp)",C8)),ISNUMBER(SEARCH("(heat)",C8)))),Parameters!$B$4,IF(AND(B8="stuff",ISNUMBER(SEARCH("(blunt)",C8))),Parameters!$B$6,1))),2)</f>
        <v/>
      </c>
    </row>
    <row r="9">
      <c r="A9" s="6" t="inlineStr">
        <is>
          <t>RK_Weapon_ProtoFlameChainSword</t>
        </is>
      </c>
      <c r="B9" s="6" t="inlineStr">
        <is>
          <t>Fixed Cost</t>
        </is>
      </c>
      <c r="C9" s="6" t="inlineStr">
        <is>
          <t>RK_ToolCapacity_ChainSword(sharp)+Burn(heat)</t>
        </is>
      </c>
      <c r="D9" s="7" t="n">
        <v>20</v>
      </c>
      <c r="E9" s="7" t="n">
        <v>1.15</v>
      </c>
      <c r="F9" s="7" t="n">
        <v>2</v>
      </c>
      <c r="G9" s="7">
        <f>ROUND((D9*IF(AND(B9="stuff",ISNUMBER(SEARCH("(sharp)",C9))),Parameters!$B$2*Parameters!$B$3,IF(AND(B9="stuff",ISNUMBER(SEARCH("(blunt)",C9))),Parameters!$B$2*Parameters!$B$5,Parameters!$B$2)))/(F9*IF(AND(B9="stuff",OR(ISNUMBER(SEARCH("(sharp)",C9)),ISNUMBER(SEARCH("(heat)",C9)))),Parameters!$B$4,IF(AND(B9="stuff",ISNUMBER(SEARCH("(blunt)",C9))),Parameters!$B$6,1))),2)</f>
        <v/>
      </c>
    </row>
    <row r="10">
      <c r="A10" s="6" t="inlineStr">
        <is>
          <t>RK_Dagger</t>
        </is>
      </c>
      <c r="B10" s="6" t="inlineStr">
        <is>
          <t>stuff</t>
        </is>
      </c>
      <c r="C10" s="6" t="inlineStr">
        <is>
          <t>Stab(sharp)</t>
        </is>
      </c>
      <c r="D10" s="7" t="n">
        <v>14</v>
      </c>
      <c r="E10" s="7">
        <f>ROUND(D10*Parameters!$B$2*IF(AND(B10="stuff",OR(ISNUMBER(SEARCH("(sharp)",C10)),ISNUMBER(SEARCH("(heat)",C10)))),Edit_Values!$B$2,IF(AND(B10="stuff",ISNUMBER(SEARCH("(blunt)",C10))),Edit_Values!$B$4,1))*Parameters!$B$7,2)</f>
        <v/>
      </c>
      <c r="F10" s="7" t="n">
        <v>1.5</v>
      </c>
      <c r="G10" s="7">
        <f>ROUND((D10*IF(AND(B10="stuff",ISNUMBER(SEARCH("(sharp)",C10))),Parameters!$B$2*Parameters!$B$3,IF(AND(B10="stuff",ISNUMBER(SEARCH("(blunt)",C10))),Parameters!$B$2*Parameters!$B$5,Parameters!$B$2)))/(F10*IF(AND(B10="stuff",OR(ISNUMBER(SEARCH("(sharp)",C10)),ISNUMBER(SEARCH("(heat)",C10)))),Parameters!$B$4,IF(AND(B10="stuff",ISNUMBER(SEARCH("(blunt)",C10))),Parameters!$B$6,1))),2)</f>
        <v/>
      </c>
    </row>
    <row r="11">
      <c r="A11" s="6" t="inlineStr">
        <is>
          <t>RK_Dagger</t>
        </is>
      </c>
      <c r="B11" s="6" t="inlineStr">
        <is>
          <t>stuff</t>
        </is>
      </c>
      <c r="C11" s="6" t="inlineStr">
        <is>
          <t>Cut(sharp)+Stun(sharp)+Cut(sharp)</t>
        </is>
      </c>
      <c r="D11" s="7" t="n">
        <v>12</v>
      </c>
      <c r="E11" s="7">
        <f>ROUND(D11*Parameters!$B$2*IF(AND(B11="stuff",OR(ISNUMBER(SEARCH("(sharp)",C11)),ISNUMBER(SEARCH("(heat)",C11)))),Edit_Values!$B$2,IF(AND(B11="stuff",ISNUMBER(SEARCH("(blunt)",C11))),Edit_Values!$B$4,1))*Parameters!$B$7,2)</f>
        <v/>
      </c>
      <c r="F11" s="7" t="n">
        <v>1.5</v>
      </c>
      <c r="G11" s="7">
        <f>ROUND((D11*IF(AND(B11="stuff",ISNUMBER(SEARCH("(sharp)",C11))),Parameters!$B$2*Parameters!$B$3,IF(AND(B11="stuff",ISNUMBER(SEARCH("(blunt)",C11))),Parameters!$B$2*Parameters!$B$5,Parameters!$B$2)))/(F11*IF(AND(B11="stuff",OR(ISNUMBER(SEARCH("(sharp)",C11)),ISNUMBER(SEARCH("(heat)",C11)))),Parameters!$B$4,IF(AND(B11="stuff",ISNUMBER(SEARCH("(blunt)",C11))),Parameters!$B$6,1))),2)</f>
        <v/>
      </c>
    </row>
    <row r="12">
      <c r="A12" s="6" t="inlineStr">
        <is>
          <t>RK_OneHanded</t>
        </is>
      </c>
      <c r="B12" s="6" t="inlineStr">
        <is>
          <t>stuff</t>
        </is>
      </c>
      <c r="C12" s="6" t="inlineStr">
        <is>
          <t>Stab(sharp)</t>
        </is>
      </c>
      <c r="D12" s="7" t="n">
        <v>21</v>
      </c>
      <c r="E12" s="7">
        <f>ROUND(D12*Parameters!$B$2*IF(AND(B12="stuff",OR(ISNUMBER(SEARCH("(sharp)",C12)),ISNUMBER(SEARCH("(heat)",C12)))),Edit_Values!$B$2,IF(AND(B12="stuff",ISNUMBER(SEARCH("(blunt)",C12))),Edit_Values!$B$4,1))*Parameters!$B$7,2)</f>
        <v/>
      </c>
      <c r="F12" s="7" t="n">
        <v>2.4</v>
      </c>
      <c r="G12" s="7">
        <f>ROUND((D12*IF(AND(B12="stuff",ISNUMBER(SEARCH("(sharp)",C12))),Parameters!$B$2*Parameters!$B$3,IF(AND(B12="stuff",ISNUMBER(SEARCH("(blunt)",C12))),Parameters!$B$2*Parameters!$B$5,Parameters!$B$2)))/(F12*IF(AND(B12="stuff",OR(ISNUMBER(SEARCH("(sharp)",C12)),ISNUMBER(SEARCH("(heat)",C12)))),Parameters!$B$4,IF(AND(B12="stuff",ISNUMBER(SEARCH("(blunt)",C12))),Parameters!$B$6,1))),2)</f>
        <v/>
      </c>
    </row>
    <row r="13">
      <c r="A13" s="6" t="inlineStr">
        <is>
          <t>RK_OneHanded</t>
        </is>
      </c>
      <c r="B13" s="6" t="inlineStr">
        <is>
          <t>stuff</t>
        </is>
      </c>
      <c r="C13" s="6" t="inlineStr">
        <is>
          <t>Cut(sharp)</t>
        </is>
      </c>
      <c r="D13" s="7" t="n">
        <v>21</v>
      </c>
      <c r="E13" s="7">
        <f>ROUND(D13*Parameters!$B$2*IF(AND(B13="stuff",OR(ISNUMBER(SEARCH("(sharp)",C13)),ISNUMBER(SEARCH("(heat)",C13)))),Edit_Values!$B$2,IF(AND(B13="stuff",ISNUMBER(SEARCH("(blunt)",C13))),Edit_Values!$B$4,1))*Parameters!$B$7,2)</f>
        <v/>
      </c>
      <c r="F13" s="7" t="n">
        <v>2.4</v>
      </c>
      <c r="G13" s="7">
        <f>ROUND((D13*IF(AND(B13="stuff",ISNUMBER(SEARCH("(sharp)",C13))),Parameters!$B$2*Parameters!$B$3,IF(AND(B13="stuff",ISNUMBER(SEARCH("(blunt)",C13))),Parameters!$B$2*Parameters!$B$5,Parameters!$B$2)))/(F13*IF(AND(B13="stuff",OR(ISNUMBER(SEARCH("(sharp)",C13)),ISNUMBER(SEARCH("(heat)",C13)))),Parameters!$B$4,IF(AND(B13="stuff",ISNUMBER(SEARCH("(blunt)",C13))),Parameters!$B$6,1))),2)</f>
        <v/>
      </c>
    </row>
    <row r="14">
      <c r="A14" s="6" t="inlineStr">
        <is>
          <t>RK_OneHanded</t>
        </is>
      </c>
      <c r="B14" s="6" t="inlineStr">
        <is>
          <t>stuff</t>
        </is>
      </c>
      <c r="C14" s="6" t="inlineStr">
        <is>
          <t>Blunt(blunt)</t>
        </is>
      </c>
      <c r="D14" s="7" t="n">
        <v>10</v>
      </c>
      <c r="E14" s="7">
        <f>ROUND(D14*Parameters!$B$2*IF(AND(B14="stuff",OR(ISNUMBER(SEARCH("(sharp)",C14)),ISNUMBER(SEARCH("(heat)",C14)))),Edit_Values!$B$2,IF(AND(B14="stuff",ISNUMBER(SEARCH("(blunt)",C14))),Edit_Values!$B$4,1))*Parameters!$B$7,2)</f>
        <v/>
      </c>
      <c r="F14" s="7" t="n">
        <v>1.8</v>
      </c>
      <c r="G14" s="7">
        <f>ROUND((D14*IF(AND(B14="stuff",ISNUMBER(SEARCH("(sharp)",C14))),Parameters!$B$2*Parameters!$B$3,IF(AND(B14="stuff",ISNUMBER(SEARCH("(blunt)",C14))),Parameters!$B$2*Parameters!$B$5,Parameters!$B$2)))/(F14*IF(AND(B14="stuff",OR(ISNUMBER(SEARCH("(sharp)",C14)),ISNUMBER(SEARCH("(heat)",C14)))),Parameters!$B$4,IF(AND(B14="stuff",ISNUMBER(SEARCH("(blunt)",C14))),Parameters!$B$6,1))),2)</f>
        <v/>
      </c>
    </row>
    <row r="15">
      <c r="A15" s="6" t="inlineStr">
        <is>
          <t>RK_Mace</t>
        </is>
      </c>
      <c r="B15" s="6" t="inlineStr">
        <is>
          <t>stuff</t>
        </is>
      </c>
      <c r="C15" s="6" t="inlineStr">
        <is>
          <t>Blunt(blunt)</t>
        </is>
      </c>
      <c r="D15" s="7" t="n">
        <v>20</v>
      </c>
      <c r="E15" s="7">
        <f>ROUND(D15*Parameters!$B$2*IF(AND(B15="stuff",OR(ISNUMBER(SEARCH("(sharp)",C15)),ISNUMBER(SEARCH("(heat)",C15)))),Edit_Values!$B$2,IF(AND(B15="stuff",ISNUMBER(SEARCH("(blunt)",C15))),Edit_Values!$B$4,1))*Parameters!$B$7,2)</f>
        <v/>
      </c>
      <c r="F15" s="7" t="n">
        <v>2.4</v>
      </c>
      <c r="G15" s="7">
        <f>ROUND((D15*IF(AND(B15="stuff",ISNUMBER(SEARCH("(sharp)",C15))),Parameters!$B$2*Parameters!$B$3,IF(AND(B15="stuff",ISNUMBER(SEARCH("(blunt)",C15))),Parameters!$B$2*Parameters!$B$5,Parameters!$B$2)))/(F15*IF(AND(B15="stuff",OR(ISNUMBER(SEARCH("(sharp)",C15)),ISNUMBER(SEARCH("(heat)",C15)))),Parameters!$B$4,IF(AND(B15="stuff",ISNUMBER(SEARCH("(blunt)",C15))),Parameters!$B$6,1))),2)</f>
        <v/>
      </c>
    </row>
    <row r="16">
      <c r="A16" s="6" t="inlineStr">
        <is>
          <t>RK_Mace</t>
        </is>
      </c>
      <c r="B16" s="6" t="inlineStr">
        <is>
          <t>stuff</t>
        </is>
      </c>
      <c r="C16" s="6" t="inlineStr">
        <is>
          <t>Blunt(blunt)</t>
        </is>
      </c>
      <c r="D16" s="7" t="n">
        <v>10</v>
      </c>
      <c r="E16" s="7">
        <f>ROUND(D16*Parameters!$B$2*IF(AND(B16="stuff",OR(ISNUMBER(SEARCH("(sharp)",C16)),ISNUMBER(SEARCH("(heat)",C16)))),Edit_Values!$B$2,IF(AND(B16="stuff",ISNUMBER(SEARCH("(blunt)",C16))),Edit_Values!$B$4,1))*Parameters!$B$7,2)</f>
        <v/>
      </c>
      <c r="F16" s="7" t="n">
        <v>2.2</v>
      </c>
      <c r="G16" s="7">
        <f>ROUND((D16*IF(AND(B16="stuff",ISNUMBER(SEARCH("(sharp)",C16))),Parameters!$B$2*Parameters!$B$3,IF(AND(B16="stuff",ISNUMBER(SEARCH("(blunt)",C16))),Parameters!$B$2*Parameters!$B$5,Parameters!$B$2)))/(F16*IF(AND(B16="stuff",OR(ISNUMBER(SEARCH("(sharp)",C16)),ISNUMBER(SEARCH("(heat)",C16)))),Parameters!$B$4,IF(AND(B16="stuff",ISNUMBER(SEARCH("(blunt)",C16))),Parameters!$B$6,1))),2)</f>
        <v/>
      </c>
    </row>
    <row r="17">
      <c r="A17" s="6" t="inlineStr">
        <is>
          <t>RK_LightLance</t>
        </is>
      </c>
      <c r="B17" s="6" t="inlineStr">
        <is>
          <t>Fixed Cost</t>
        </is>
      </c>
      <c r="C17" s="6" t="inlineStr">
        <is>
          <t>Stab(sharp)</t>
        </is>
      </c>
      <c r="D17" s="7" t="n">
        <v>27</v>
      </c>
      <c r="E17" s="7">
        <f>ROUND(D17*Parameters!$B$2*IF(AND(B17="stuff",OR(ISNUMBER(SEARCH("(sharp)",C17)),ISNUMBER(SEARCH("(heat)",C17)))),Edit_Values!$B$2,IF(AND(B17="stuff",ISNUMBER(SEARCH("(blunt)",C17))),Edit_Values!$B$4,1))*Parameters!$B$7,2)</f>
        <v/>
      </c>
      <c r="F17" s="7" t="n">
        <v>2.5</v>
      </c>
      <c r="G17" s="7">
        <f>ROUND((D17*IF(AND(B17="stuff",ISNUMBER(SEARCH("(sharp)",C17))),Parameters!$B$2*Parameters!$B$3,IF(AND(B17="stuff",ISNUMBER(SEARCH("(blunt)",C17))),Parameters!$B$2*Parameters!$B$5,Parameters!$B$2)))/(F17*IF(AND(B17="stuff",OR(ISNUMBER(SEARCH("(sharp)",C17)),ISNUMBER(SEARCH("(heat)",C17)))),Parameters!$B$4,IF(AND(B17="stuff",ISNUMBER(SEARCH("(blunt)",C17))),Parameters!$B$6,1))),2)</f>
        <v/>
      </c>
    </row>
    <row r="18">
      <c r="A18" s="6" t="inlineStr">
        <is>
          <t>RK_LightLance</t>
        </is>
      </c>
      <c r="B18" s="6" t="inlineStr">
        <is>
          <t>Fixed Cost</t>
        </is>
      </c>
      <c r="C18" s="6" t="inlineStr">
        <is>
          <t>Cut(sharp)</t>
        </is>
      </c>
      <c r="D18" s="7" t="n">
        <v>21</v>
      </c>
      <c r="E18" s="7">
        <f>ROUND(D18*Parameters!$B$2*IF(AND(B18="stuff",OR(ISNUMBER(SEARCH("(sharp)",C18)),ISNUMBER(SEARCH("(heat)",C18)))),Edit_Values!$B$2,IF(AND(B18="stuff",ISNUMBER(SEARCH("(blunt)",C18))),Edit_Values!$B$4,1))*Parameters!$B$7,2)</f>
        <v/>
      </c>
      <c r="F18" s="7" t="n">
        <v>2.8</v>
      </c>
      <c r="G18" s="7">
        <f>ROUND((D18*IF(AND(B18="stuff",ISNUMBER(SEARCH("(sharp)",C18))),Parameters!$B$2*Parameters!$B$3,IF(AND(B18="stuff",ISNUMBER(SEARCH("(blunt)",C18))),Parameters!$B$2*Parameters!$B$5,Parameters!$B$2)))/(F18*IF(AND(B18="stuff",OR(ISNUMBER(SEARCH("(sharp)",C18)),ISNUMBER(SEARCH("(heat)",C18)))),Parameters!$B$4,IF(AND(B18="stuff",ISNUMBER(SEARCH("(blunt)",C18))),Parameters!$B$6,1))),2)</f>
        <v/>
      </c>
    </row>
    <row r="19">
      <c r="A19" s="6" t="inlineStr">
        <is>
          <t>RK_LightLance</t>
        </is>
      </c>
      <c r="B19" s="6" t="inlineStr">
        <is>
          <t>Fixed Cost</t>
        </is>
      </c>
      <c r="C19" s="6" t="inlineStr">
        <is>
          <t>Blunt(blunt)</t>
        </is>
      </c>
      <c r="D19" s="7" t="n">
        <v>13</v>
      </c>
      <c r="E19" s="7">
        <f>ROUND(D19*Parameters!$B$2*IF(AND(B19="stuff",OR(ISNUMBER(SEARCH("(sharp)",C19)),ISNUMBER(SEARCH("(heat)",C19)))),Edit_Values!$B$2,IF(AND(B19="stuff",ISNUMBER(SEARCH("(blunt)",C19))),Edit_Values!$B$4,1))*Parameters!$B$7,2)</f>
        <v/>
      </c>
      <c r="F19" s="7" t="n">
        <v>2.8</v>
      </c>
      <c r="G19" s="7">
        <f>ROUND((D19*IF(AND(B19="stuff",ISNUMBER(SEARCH("(sharp)",C19))),Parameters!$B$2*Parameters!$B$3,IF(AND(B19="stuff",ISNUMBER(SEARCH("(blunt)",C19))),Parameters!$B$2*Parameters!$B$5,Parameters!$B$2)))/(F19*IF(AND(B19="stuff",OR(ISNUMBER(SEARCH("(sharp)",C19)),ISNUMBER(SEARCH("(heat)",C19)))),Parameters!$B$4,IF(AND(B19="stuff",ISNUMBER(SEARCH("(blunt)",C19))),Parameters!$B$6,1))),2)</f>
        <v/>
      </c>
    </row>
    <row r="20">
      <c r="A20" s="6" t="inlineStr">
        <is>
          <t>RK_TwoHanded</t>
        </is>
      </c>
      <c r="B20" s="6" t="inlineStr">
        <is>
          <t>stuff</t>
        </is>
      </c>
      <c r="C20" s="6" t="inlineStr">
        <is>
          <t>Blunt(blunt)</t>
        </is>
      </c>
      <c r="D20" s="7" t="n">
        <v>12</v>
      </c>
      <c r="E20" s="7">
        <f>ROUND(D20*Parameters!$B$2*IF(AND(B20="stuff",OR(ISNUMBER(SEARCH("(sharp)",C20)),ISNUMBER(SEARCH("(heat)",C20)))),Edit_Values!$B$2,IF(AND(B20="stuff",ISNUMBER(SEARCH("(blunt)",C20))),Edit_Values!$B$4,1))*Parameters!$B$7,2)</f>
        <v/>
      </c>
      <c r="F20" s="7" t="n">
        <v>2</v>
      </c>
      <c r="G20" s="7">
        <f>ROUND((D20*IF(AND(B20="stuff",ISNUMBER(SEARCH("(sharp)",C20))),Parameters!$B$2*Parameters!$B$3,IF(AND(B20="stuff",ISNUMBER(SEARCH("(blunt)",C20))),Parameters!$B$2*Parameters!$B$5,Parameters!$B$2)))/(F20*IF(AND(B20="stuff",OR(ISNUMBER(SEARCH("(sharp)",C20)),ISNUMBER(SEARCH("(heat)",C20)))),Parameters!$B$4,IF(AND(B20="stuff",ISNUMBER(SEARCH("(blunt)",C20))),Parameters!$B$6,1))),2)</f>
        <v/>
      </c>
    </row>
    <row r="21">
      <c r="A21" s="6" t="inlineStr">
        <is>
          <t>RK_TwoHanded</t>
        </is>
      </c>
      <c r="B21" s="6" t="inlineStr">
        <is>
          <t>stuff</t>
        </is>
      </c>
      <c r="C21" s="6" t="inlineStr">
        <is>
          <t>Stab(sharp)</t>
        </is>
      </c>
      <c r="D21" s="7" t="n">
        <v>24</v>
      </c>
      <c r="E21" s="7">
        <f>ROUND(D21*Parameters!$B$2*IF(AND(B21="stuff",OR(ISNUMBER(SEARCH("(sharp)",C21)),ISNUMBER(SEARCH("(heat)",C21)))),Edit_Values!$B$2,IF(AND(B21="stuff",ISNUMBER(SEARCH("(blunt)",C21))),Edit_Values!$B$4,1))*Parameters!$B$7,2)</f>
        <v/>
      </c>
      <c r="F21" s="7" t="n">
        <v>2.5</v>
      </c>
      <c r="G21" s="7">
        <f>ROUND((D21*IF(AND(B21="stuff",ISNUMBER(SEARCH("(sharp)",C21))),Parameters!$B$2*Parameters!$B$3,IF(AND(B21="stuff",ISNUMBER(SEARCH("(blunt)",C21))),Parameters!$B$2*Parameters!$B$5,Parameters!$B$2)))/(F21*IF(AND(B21="stuff",OR(ISNUMBER(SEARCH("(sharp)",C21)),ISNUMBER(SEARCH("(heat)",C21)))),Parameters!$B$4,IF(AND(B21="stuff",ISNUMBER(SEARCH("(blunt)",C21))),Parameters!$B$6,1))),2)</f>
        <v/>
      </c>
    </row>
    <row r="22">
      <c r="A22" s="6" t="inlineStr">
        <is>
          <t>RK_TwoHanded</t>
        </is>
      </c>
      <c r="B22" s="6" t="inlineStr">
        <is>
          <t>stuff</t>
        </is>
      </c>
      <c r="C22" s="6" t="inlineStr">
        <is>
          <t>Cut(sharp)</t>
        </is>
      </c>
      <c r="D22" s="7" t="n">
        <v>27</v>
      </c>
      <c r="E22" s="7">
        <f>ROUND(D22*Parameters!$B$2*IF(AND(B22="stuff",OR(ISNUMBER(SEARCH("(sharp)",C22)),ISNUMBER(SEARCH("(heat)",C22)))),Edit_Values!$B$2,IF(AND(B22="stuff",ISNUMBER(SEARCH("(blunt)",C22))),Edit_Values!$B$4,1))*Parameters!$B$7,2)</f>
        <v/>
      </c>
      <c r="F22" s="7" t="n">
        <v>2.8</v>
      </c>
      <c r="G22" s="7">
        <f>ROUND((D22*IF(AND(B22="stuff",ISNUMBER(SEARCH("(sharp)",C22))),Parameters!$B$2*Parameters!$B$3,IF(AND(B22="stuff",ISNUMBER(SEARCH("(blunt)",C22))),Parameters!$B$2*Parameters!$B$5,Parameters!$B$2)))/(F22*IF(AND(B22="stuff",OR(ISNUMBER(SEARCH("(sharp)",C22)),ISNUMBER(SEARCH("(heat)",C22)))),Parameters!$B$4,IF(AND(B22="stuff",ISNUMBER(SEARCH("(blunt)",C22))),Parameters!$B$6,1))),2)</f>
        <v/>
      </c>
    </row>
    <row r="23">
      <c r="A23" s="6" t="inlineStr">
        <is>
          <t>RK_HeavyLance</t>
        </is>
      </c>
      <c r="B23" s="6" t="inlineStr">
        <is>
          <t>stuff</t>
        </is>
      </c>
      <c r="C23" s="6" t="inlineStr">
        <is>
          <t>Stab(sharp)</t>
        </is>
      </c>
      <c r="D23" s="7" t="n">
        <v>32</v>
      </c>
      <c r="E23" s="7">
        <f>ROUND(D23*Parameters!$B$2*IF(AND(B23="stuff",OR(ISNUMBER(SEARCH("(sharp)",C23)),ISNUMBER(SEARCH("(heat)",C23)))),Edit_Values!$B$2,IF(AND(B23="stuff",ISNUMBER(SEARCH("(blunt)",C23))),Edit_Values!$B$4,1))*Parameters!$B$7,2)</f>
        <v/>
      </c>
      <c r="F23" s="7" t="n">
        <v>3</v>
      </c>
      <c r="G23" s="7">
        <f>ROUND((D23*IF(AND(B23="stuff",ISNUMBER(SEARCH("(sharp)",C23))),Parameters!$B$2*Parameters!$B$3,IF(AND(B23="stuff",ISNUMBER(SEARCH("(blunt)",C23))),Parameters!$B$2*Parameters!$B$5,Parameters!$B$2)))/(F23*IF(AND(B23="stuff",OR(ISNUMBER(SEARCH("(sharp)",C23)),ISNUMBER(SEARCH("(heat)",C23)))),Parameters!$B$4,IF(AND(B23="stuff",ISNUMBER(SEARCH("(blunt)",C23))),Parameters!$B$6,1))),2)</f>
        <v/>
      </c>
    </row>
    <row r="24">
      <c r="A24" s="6" t="inlineStr">
        <is>
          <t>RK_HeavyLance</t>
        </is>
      </c>
      <c r="B24" s="6" t="inlineStr">
        <is>
          <t>stuff</t>
        </is>
      </c>
      <c r="C24" s="6" t="inlineStr">
        <is>
          <t>Cut(sharp)</t>
        </is>
      </c>
      <c r="D24" s="7" t="n">
        <v>27</v>
      </c>
      <c r="E24" s="7">
        <f>ROUND(D24*Parameters!$B$2*IF(AND(B24="stuff",OR(ISNUMBER(SEARCH("(sharp)",C24)),ISNUMBER(SEARCH("(heat)",C24)))),Edit_Values!$B$2,IF(AND(B24="stuff",ISNUMBER(SEARCH("(blunt)",C24))),Edit_Values!$B$4,1))*Parameters!$B$7,2)</f>
        <v/>
      </c>
      <c r="F24" s="7" t="n">
        <v>3.4</v>
      </c>
      <c r="G24" s="7">
        <f>ROUND((D24*IF(AND(B24="stuff",ISNUMBER(SEARCH("(sharp)",C24))),Parameters!$B$2*Parameters!$B$3,IF(AND(B24="stuff",ISNUMBER(SEARCH("(blunt)",C24))),Parameters!$B$2*Parameters!$B$5,Parameters!$B$2)))/(F24*IF(AND(B24="stuff",OR(ISNUMBER(SEARCH("(sharp)",C24)),ISNUMBER(SEARCH("(heat)",C24)))),Parameters!$B$4,IF(AND(B24="stuff",ISNUMBER(SEARCH("(blunt)",C24))),Parameters!$B$6,1))),2)</f>
        <v/>
      </c>
    </row>
    <row r="25">
      <c r="A25" s="6" t="inlineStr">
        <is>
          <t>RK_HeavyLance</t>
        </is>
      </c>
      <c r="B25" s="6" t="inlineStr">
        <is>
          <t>stuff</t>
        </is>
      </c>
      <c r="C25" s="6" t="inlineStr">
        <is>
          <t>Blunt(blunt)</t>
        </is>
      </c>
      <c r="D25" s="7" t="n">
        <v>16</v>
      </c>
      <c r="E25" s="7">
        <f>ROUND(D25*Parameters!$B$2*IF(AND(B25="stuff",OR(ISNUMBER(SEARCH("(sharp)",C25)),ISNUMBER(SEARCH("(heat)",C25)))),Edit_Values!$B$2,IF(AND(B25="stuff",ISNUMBER(SEARCH("(blunt)",C25))),Edit_Values!$B$4,1))*Parameters!$B$7,2)</f>
        <v/>
      </c>
      <c r="F25" s="7" t="n">
        <v>3.4</v>
      </c>
      <c r="G25" s="7">
        <f>ROUND((D25*IF(AND(B25="stuff",ISNUMBER(SEARCH("(sharp)",C25))),Parameters!$B$2*Parameters!$B$3,IF(AND(B25="stuff",ISNUMBER(SEARCH("(blunt)",C25))),Parameters!$B$2*Parameters!$B$5,Parameters!$B$2)))/(F25*IF(AND(B25="stuff",OR(ISNUMBER(SEARCH("(sharp)",C25)),ISNUMBER(SEARCH("(heat)",C25)))),Parameters!$B$4,IF(AND(B25="stuff",ISNUMBER(SEARCH("(blunt)",C25))),Parameters!$B$6,1))),2)</f>
        <v/>
      </c>
    </row>
    <row r="26">
      <c r="A26" s="6" t="inlineStr">
        <is>
          <t>RK_LongSword</t>
        </is>
      </c>
      <c r="B26" s="6" t="inlineStr">
        <is>
          <t>stuff</t>
        </is>
      </c>
      <c r="C26" s="6" t="inlineStr">
        <is>
          <t>Stab(sharp)</t>
        </is>
      </c>
      <c r="D26" s="7" t="n">
        <v>23</v>
      </c>
      <c r="E26" s="7">
        <f>ROUND(D26*Parameters!$B$2*IF(AND(B26="stuff",OR(ISNUMBER(SEARCH("(sharp)",C26)),ISNUMBER(SEARCH("(heat)",C26)))),Edit_Values!$B$2,IF(AND(B26="stuff",ISNUMBER(SEARCH("(blunt)",C26))),Edit_Values!$B$4,1))*Parameters!$B$7,2)</f>
        <v/>
      </c>
      <c r="F26" s="7" t="n">
        <v>2.1</v>
      </c>
      <c r="G26" s="7">
        <f>ROUND((D26*IF(AND(B26="stuff",ISNUMBER(SEARCH("(sharp)",C26))),Parameters!$B$2*Parameters!$B$3,IF(AND(B26="stuff",ISNUMBER(SEARCH("(blunt)",C26))),Parameters!$B$2*Parameters!$B$5,Parameters!$B$2)))/(F26*IF(AND(B26="stuff",OR(ISNUMBER(SEARCH("(sharp)",C26)),ISNUMBER(SEARCH("(heat)",C26)))),Parameters!$B$4,IF(AND(B26="stuff",ISNUMBER(SEARCH("(blunt)",C26))),Parameters!$B$6,1))),2)</f>
        <v/>
      </c>
    </row>
    <row r="27">
      <c r="A27" s="6" t="inlineStr">
        <is>
          <t>RK_LongSword</t>
        </is>
      </c>
      <c r="B27" s="6" t="inlineStr">
        <is>
          <t>stuff</t>
        </is>
      </c>
      <c r="C27" s="6" t="inlineStr">
        <is>
          <t>Cut(sharp)</t>
        </is>
      </c>
      <c r="D27" s="7" t="n">
        <v>23</v>
      </c>
      <c r="E27" s="7">
        <f>ROUND(D27*Parameters!$B$2*IF(AND(B27="stuff",OR(ISNUMBER(SEARCH("(sharp)",C27)),ISNUMBER(SEARCH("(heat)",C27)))),Edit_Values!$B$2,IF(AND(B27="stuff",ISNUMBER(SEARCH("(blunt)",C27))),Edit_Values!$B$4,1))*Parameters!$B$7,2)</f>
        <v/>
      </c>
      <c r="F27" s="7" t="n">
        <v>2.1</v>
      </c>
      <c r="G27" s="7">
        <f>ROUND((D27*IF(AND(B27="stuff",ISNUMBER(SEARCH("(sharp)",C27))),Parameters!$B$2*Parameters!$B$3,IF(AND(B27="stuff",ISNUMBER(SEARCH("(blunt)",C27))),Parameters!$B$2*Parameters!$B$5,Parameters!$B$2)))/(F27*IF(AND(B27="stuff",OR(ISNUMBER(SEARCH("(sharp)",C27)),ISNUMBER(SEARCH("(heat)",C27)))),Parameters!$B$4,IF(AND(B27="stuff",ISNUMBER(SEARCH("(blunt)",C27))),Parameters!$B$6,1))),2)</f>
        <v/>
      </c>
    </row>
    <row r="28">
      <c r="A28" s="6" t="inlineStr">
        <is>
          <t>RK_LongSword</t>
        </is>
      </c>
      <c r="B28" s="6" t="inlineStr">
        <is>
          <t>stuff</t>
        </is>
      </c>
      <c r="C28" s="6" t="inlineStr">
        <is>
          <t>Blunt(blunt)</t>
        </is>
      </c>
      <c r="D28" s="7" t="n">
        <v>12</v>
      </c>
      <c r="E28" s="7">
        <f>ROUND(D28*Parameters!$B$2*IF(AND(B28="stuff",OR(ISNUMBER(SEARCH("(sharp)",C28)),ISNUMBER(SEARCH("(heat)",C28)))),Edit_Values!$B$2,IF(AND(B28="stuff",ISNUMBER(SEARCH("(blunt)",C28))),Edit_Values!$B$4,1))*Parameters!$B$7,2)</f>
        <v/>
      </c>
      <c r="F28" s="7" t="n">
        <v>1.8</v>
      </c>
      <c r="G28" s="7">
        <f>ROUND((D28*IF(AND(B28="stuff",ISNUMBER(SEARCH("(sharp)",C28))),Parameters!$B$2*Parameters!$B$3,IF(AND(B28="stuff",ISNUMBER(SEARCH("(blunt)",C28))),Parameters!$B$2*Parameters!$B$5,Parameters!$B$2)))/(F28*IF(AND(B28="stuff",OR(ISNUMBER(SEARCH("(sharp)",C28)),ISNUMBER(SEARCH("(heat)",C28)))),Parameters!$B$4,IF(AND(B28="stuff",ISNUMBER(SEARCH("(blunt)",C28))),Parameters!$B$6,1))),2)</f>
        <v/>
      </c>
    </row>
    <row r="29">
      <c r="A29" s="6" t="inlineStr">
        <is>
          <t>RK_Spear</t>
        </is>
      </c>
      <c r="B29" s="6" t="inlineStr">
        <is>
          <t>stuff</t>
        </is>
      </c>
      <c r="C29" s="6" t="inlineStr">
        <is>
          <t>Blunt(blunt); Poke(blunt)</t>
        </is>
      </c>
      <c r="D29" s="7" t="n">
        <v>6.5</v>
      </c>
      <c r="E29" s="7">
        <f>ROUND(D29*Parameters!$B$2*IF(AND(B29="stuff",OR(ISNUMBER(SEARCH("(sharp)",C29)),ISNUMBER(SEARCH("(heat)",C29)))),Edit_Values!$B$2,IF(AND(B29="stuff",ISNUMBER(SEARCH("(blunt)",C29))),Edit_Values!$B$4,1))*Parameters!$B$7,2)</f>
        <v/>
      </c>
      <c r="F29" s="7" t="n">
        <v>1.3</v>
      </c>
      <c r="G29" s="7">
        <f>ROUND((D29*IF(AND(B29="stuff",ISNUMBER(SEARCH("(sharp)",C29))),Parameters!$B$2*Parameters!$B$3,IF(AND(B29="stuff",ISNUMBER(SEARCH("(blunt)",C29))),Parameters!$B$2*Parameters!$B$5,Parameters!$B$2)))/(F29*IF(AND(B29="stuff",OR(ISNUMBER(SEARCH("(sharp)",C29)),ISNUMBER(SEARCH("(heat)",C29)))),Parameters!$B$4,IF(AND(B29="stuff",ISNUMBER(SEARCH("(blunt)",C29))),Parameters!$B$6,1))),2)</f>
        <v/>
      </c>
    </row>
    <row r="30">
      <c r="A30" s="6" t="inlineStr">
        <is>
          <t>RK_Spear</t>
        </is>
      </c>
      <c r="B30" s="6" t="inlineStr">
        <is>
          <t>stuff</t>
        </is>
      </c>
      <c r="C30" s="6" t="inlineStr">
        <is>
          <t>Stab(sharp)</t>
        </is>
      </c>
      <c r="D30" s="7" t="n">
        <v>11.5</v>
      </c>
      <c r="E30" s="7" t="n">
        <v>0.82</v>
      </c>
      <c r="F30" s="7" t="n">
        <v>1.3</v>
      </c>
      <c r="G30" s="7">
        <f>ROUND((D30*IF(AND(B30="stuff",ISNUMBER(SEARCH("(sharp)",C30))),Parameters!$B$2*Parameters!$B$3,IF(AND(B30="stuff",ISNUMBER(SEARCH("(blunt)",C30))),Parameters!$B$2*Parameters!$B$5,Parameters!$B$2)))/(F30*IF(AND(B30="stuff",OR(ISNUMBER(SEARCH("(sharp)",C30)),ISNUMBER(SEARCH("(heat)",C30)))),Parameters!$B$4,IF(AND(B30="stuff",ISNUMBER(SEARCH("(blunt)",C30))),Parameters!$B$6,1))),2)</f>
        <v/>
      </c>
    </row>
    <row r="31">
      <c r="A31" s="6" t="inlineStr">
        <is>
          <t>RK_Halberd</t>
        </is>
      </c>
      <c r="B31" s="6" t="inlineStr">
        <is>
          <t>stuff</t>
        </is>
      </c>
      <c r="C31" s="6" t="inlineStr">
        <is>
          <t>Stab(sharp)</t>
        </is>
      </c>
      <c r="D31" s="7" t="n">
        <v>15</v>
      </c>
      <c r="E31" s="7">
        <f>ROUND(D31*Parameters!$B$2*IF(AND(B31="stuff",OR(ISNUMBER(SEARCH("(sharp)",C31)),ISNUMBER(SEARCH("(heat)",C31)))),Edit_Values!$B$2,IF(AND(B31="stuff",ISNUMBER(SEARCH("(blunt)",C31))),Edit_Values!$B$4,1))*Parameters!$B$7,2)</f>
        <v/>
      </c>
      <c r="F31" s="7" t="n">
        <v>1.8</v>
      </c>
      <c r="G31" s="7">
        <f>ROUND((D31*IF(AND(B31="stuff",ISNUMBER(SEARCH("(sharp)",C31))),Parameters!$B$2*Parameters!$B$3,IF(AND(B31="stuff",ISNUMBER(SEARCH("(blunt)",C31))),Parameters!$B$2*Parameters!$B$5,Parameters!$B$2)))/(F31*IF(AND(B31="stuff",OR(ISNUMBER(SEARCH("(sharp)",C31)),ISNUMBER(SEARCH("(heat)",C31)))),Parameters!$B$4,IF(AND(B31="stuff",ISNUMBER(SEARCH("(blunt)",C31))),Parameters!$B$6,1))),2)</f>
        <v/>
      </c>
    </row>
    <row r="32">
      <c r="A32" s="6" t="inlineStr">
        <is>
          <t>RK_Halberd</t>
        </is>
      </c>
      <c r="B32" s="6" t="inlineStr">
        <is>
          <t>stuff</t>
        </is>
      </c>
      <c r="C32" s="6" t="inlineStr">
        <is>
          <t>RK_HalberdCleave(sharp)</t>
        </is>
      </c>
      <c r="D32" s="7" t="n">
        <v>23</v>
      </c>
      <c r="E32" s="7" t="n">
        <v>1.07</v>
      </c>
      <c r="F32" s="7" t="n">
        <v>2.4</v>
      </c>
      <c r="G32" s="7">
        <f>ROUND((D32*IF(AND(B32="stuff",ISNUMBER(SEARCH("(sharp)",C32))),Parameters!$B$2*Parameters!$B$3,IF(AND(B32="stuff",ISNUMBER(SEARCH("(blunt)",C32))),Parameters!$B$2*Parameters!$B$5,Parameters!$B$2)))/(F32*IF(AND(B32="stuff",OR(ISNUMBER(SEARCH("(sharp)",C32)),ISNUMBER(SEARCH("(heat)",C32)))),Parameters!$B$4,IF(AND(B32="stuff",ISNUMBER(SEARCH("(blunt)",C32))),Parameters!$B$6,1))),2)</f>
        <v/>
      </c>
    </row>
    <row r="33">
      <c r="A33" s="6" t="inlineStr">
        <is>
          <t>RK_Axe</t>
        </is>
      </c>
      <c r="B33" s="6" t="inlineStr">
        <is>
          <t>stuff</t>
        </is>
      </c>
      <c r="C33" s="6" t="inlineStr">
        <is>
          <t>Blunt(blunt)</t>
        </is>
      </c>
      <c r="D33" s="7" t="n">
        <v>8</v>
      </c>
      <c r="E33" s="7">
        <f>ROUND(D33*Parameters!$B$2*IF(AND(B33="stuff",OR(ISNUMBER(SEARCH("(sharp)",C33)),ISNUMBER(SEARCH("(heat)",C33)))),Edit_Values!$B$2,IF(AND(B33="stuff",ISNUMBER(SEARCH("(blunt)",C33))),Edit_Values!$B$4,1))*Parameters!$B$7,2)</f>
        <v/>
      </c>
      <c r="F33" s="7" t="n">
        <v>2</v>
      </c>
      <c r="G33" s="7">
        <f>ROUND((D33*IF(AND(B33="stuff",ISNUMBER(SEARCH("(sharp)",C33))),Parameters!$B$2*Parameters!$B$3,IF(AND(B33="stuff",ISNUMBER(SEARCH("(blunt)",C33))),Parameters!$B$2*Parameters!$B$5,Parameters!$B$2)))/(F33*IF(AND(B33="stuff",OR(ISNUMBER(SEARCH("(sharp)",C33)),ISNUMBER(SEARCH("(heat)",C33)))),Parameters!$B$4,IF(AND(B33="stuff",ISNUMBER(SEARCH("(blunt)",C33))),Parameters!$B$6,1))),2)</f>
        <v/>
      </c>
    </row>
    <row r="34">
      <c r="A34" s="6" t="inlineStr">
        <is>
          <t>RK_Axe</t>
        </is>
      </c>
      <c r="B34" s="6" t="inlineStr">
        <is>
          <t>stuff</t>
        </is>
      </c>
      <c r="C34" s="6" t="inlineStr">
        <is>
          <t>Cut(sharp)</t>
        </is>
      </c>
      <c r="D34" s="7" t="n">
        <v>20</v>
      </c>
      <c r="E34" s="7">
        <f>ROUND(D34*Parameters!$B$2*IF(AND(B34="stuff",OR(ISNUMBER(SEARCH("(sharp)",C34)),ISNUMBER(SEARCH("(heat)",C34)))),Edit_Values!$B$2,IF(AND(B34="stuff",ISNUMBER(SEARCH("(blunt)",C34))),Edit_Values!$B$4,1))*Parameters!$B$7,2)</f>
        <v/>
      </c>
      <c r="F34" s="7" t="n">
        <v>2.5</v>
      </c>
      <c r="G34" s="7">
        <f>ROUND((D34*IF(AND(B34="stuff",ISNUMBER(SEARCH("(sharp)",C34))),Parameters!$B$2*Parameters!$B$3,IF(AND(B34="stuff",ISNUMBER(SEARCH("(blunt)",C34))),Parameters!$B$2*Parameters!$B$5,Parameters!$B$2)))/(F34*IF(AND(B34="stuff",OR(ISNUMBER(SEARCH("(sharp)",C34)),ISNUMBER(SEARCH("(heat)",C34)))),Parameters!$B$4,IF(AND(B34="stuff",ISNUMBER(SEARCH("(blunt)",C34))),Parameters!$B$6,1))),2)</f>
        <v/>
      </c>
    </row>
    <row r="35">
      <c r="A35" s="6" t="inlineStr">
        <is>
          <t>RK_Cleaver</t>
        </is>
      </c>
      <c r="B35" s="6" t="inlineStr">
        <is>
          <t>stuff</t>
        </is>
      </c>
      <c r="C35" s="6" t="inlineStr">
        <is>
          <t>Blunt(blunt)</t>
        </is>
      </c>
      <c r="D35" s="7" t="n">
        <v>5</v>
      </c>
      <c r="E35" s="7">
        <f>ROUND(D35*Parameters!$B$2*IF(AND(B35="stuff",OR(ISNUMBER(SEARCH("(sharp)",C35)),ISNUMBER(SEARCH("(heat)",C35)))),Edit_Values!$B$2,IF(AND(B35="stuff",ISNUMBER(SEARCH("(blunt)",C35))),Edit_Values!$B$4,1))*Parameters!$B$7,2)</f>
        <v/>
      </c>
      <c r="F35" s="7" t="n">
        <v>2</v>
      </c>
      <c r="G35" s="7">
        <f>ROUND((D35*IF(AND(B35="stuff",ISNUMBER(SEARCH("(sharp)",C35))),Parameters!$B$2*Parameters!$B$3,IF(AND(B35="stuff",ISNUMBER(SEARCH("(blunt)",C35))),Parameters!$B$2*Parameters!$B$5,Parameters!$B$2)))/(F35*IF(AND(B35="stuff",OR(ISNUMBER(SEARCH("(sharp)",C35)),ISNUMBER(SEARCH("(heat)",C35)))),Parameters!$B$4,IF(AND(B35="stuff",ISNUMBER(SEARCH("(blunt)",C35))),Parameters!$B$6,1))),2)</f>
        <v/>
      </c>
    </row>
    <row r="36">
      <c r="A36" s="6" t="inlineStr">
        <is>
          <t>RK_Cleaver</t>
        </is>
      </c>
      <c r="B36" s="6" t="inlineStr">
        <is>
          <t>stuff</t>
        </is>
      </c>
      <c r="C36" s="6" t="inlineStr">
        <is>
          <t>Cut(sharp)</t>
        </is>
      </c>
      <c r="D36" s="7" t="n">
        <v>12</v>
      </c>
      <c r="E36" s="7">
        <f>ROUND(D36*Parameters!$B$2*IF(AND(B36="stuff",OR(ISNUMBER(SEARCH("(sharp)",C36)),ISNUMBER(SEARCH("(heat)",C36)))),Edit_Values!$B$2,IF(AND(B36="stuff",ISNUMBER(SEARCH("(blunt)",C36))),Edit_Values!$B$4,1))*Parameters!$B$7,2)</f>
        <v/>
      </c>
      <c r="F36" s="7" t="n">
        <v>1.8</v>
      </c>
      <c r="G36" s="7">
        <f>ROUND((D36*IF(AND(B36="stuff",ISNUMBER(SEARCH("(sharp)",C36))),Parameters!$B$2*Parameters!$B$3,IF(AND(B36="stuff",ISNUMBER(SEARCH("(blunt)",C36))),Parameters!$B$2*Parameters!$B$5,Parameters!$B$2)))/(F36*IF(AND(B36="stuff",OR(ISNUMBER(SEARCH("(sharp)",C36)),ISNUMBER(SEARCH("(heat)",C36)))),Parameters!$B$4,IF(AND(B36="stuff",ISNUMBER(SEARCH("(blunt)",C36))),Parameters!$B$6,1))),2)</f>
        <v/>
      </c>
    </row>
    <row r="37">
      <c r="A37" s="6" t="inlineStr">
        <is>
          <t>RK_Hockey</t>
        </is>
      </c>
      <c r="B37" s="6" t="inlineStr">
        <is>
          <t>stuff</t>
        </is>
      </c>
      <c r="C37" s="6" t="inlineStr">
        <is>
          <t>Stab(sharp)</t>
        </is>
      </c>
      <c r="D37" s="7" t="n">
        <v>17</v>
      </c>
      <c r="E37" s="7">
        <f>ROUND(D37*Parameters!$B$2*IF(AND(B37="stuff",OR(ISNUMBER(SEARCH("(sharp)",C37)),ISNUMBER(SEARCH("(heat)",C37)))),Edit_Values!$B$2,IF(AND(B37="stuff",ISNUMBER(SEARCH("(blunt)",C37))),Edit_Values!$B$4,1))*Parameters!$B$7,2)</f>
        <v/>
      </c>
      <c r="F37" s="7" t="n">
        <v>2.4</v>
      </c>
      <c r="G37" s="7">
        <f>ROUND((D37*IF(AND(B37="stuff",ISNUMBER(SEARCH("(sharp)",C37))),Parameters!$B$2*Parameters!$B$3,IF(AND(B37="stuff",ISNUMBER(SEARCH("(blunt)",C37))),Parameters!$B$2*Parameters!$B$5,Parameters!$B$2)))/(F37*IF(AND(B37="stuff",OR(ISNUMBER(SEARCH("(sharp)",C37)),ISNUMBER(SEARCH("(heat)",C37)))),Parameters!$B$4,IF(AND(B37="stuff",ISNUMBER(SEARCH("(blunt)",C37))),Parameters!$B$6,1))),2)</f>
        <v/>
      </c>
    </row>
    <row r="38">
      <c r="A38" s="6" t="inlineStr">
        <is>
          <t>RK_Hockey</t>
        </is>
      </c>
      <c r="B38" s="6" t="inlineStr">
        <is>
          <t>stuff</t>
        </is>
      </c>
      <c r="C38" s="6" t="inlineStr">
        <is>
          <t>Cut(sharp)</t>
        </is>
      </c>
      <c r="D38" s="7" t="n">
        <v>14</v>
      </c>
      <c r="E38" s="7">
        <f>ROUND(D38*Parameters!$B$2*IF(AND(B38="stuff",OR(ISNUMBER(SEARCH("(sharp)",C38)),ISNUMBER(SEARCH("(heat)",C38)))),Edit_Values!$B$2,IF(AND(B38="stuff",ISNUMBER(SEARCH("(blunt)",C38))),Edit_Values!$B$4,1))*Parameters!$B$7,2)</f>
        <v/>
      </c>
      <c r="F38" s="7" t="n">
        <v>2</v>
      </c>
      <c r="G38" s="7">
        <f>ROUND((D38*IF(AND(B38="stuff",ISNUMBER(SEARCH("(sharp)",C38))),Parameters!$B$2*Parameters!$B$3,IF(AND(B38="stuff",ISNUMBER(SEARCH("(blunt)",C38))),Parameters!$B$2*Parameters!$B$5,Parameters!$B$2)))/(F38*IF(AND(B38="stuff",OR(ISNUMBER(SEARCH("(sharp)",C38)),ISNUMBER(SEARCH("(heat)",C38)))),Parameters!$B$4,IF(AND(B38="stuff",ISNUMBER(SEARCH("(blunt)",C38))),Parameters!$B$6,1))),2)</f>
        <v/>
      </c>
    </row>
    <row r="39">
      <c r="A39" s="6" t="inlineStr">
        <is>
          <t>RK_Fork</t>
        </is>
      </c>
      <c r="B39" s="6" t="inlineStr">
        <is>
          <t>stuff</t>
        </is>
      </c>
      <c r="C39" s="6" t="inlineStr">
        <is>
          <t>Stab(sharp)</t>
        </is>
      </c>
      <c r="D39" s="7" t="n">
        <v>17</v>
      </c>
      <c r="E39" s="7">
        <f>ROUND(D39*Parameters!$B$2*IF(AND(B39="stuff",OR(ISNUMBER(SEARCH("(sharp)",C39)),ISNUMBER(SEARCH("(heat)",C39)))),Edit_Values!$B$2,IF(AND(B39="stuff",ISNUMBER(SEARCH("(blunt)",C39))),Edit_Values!$B$4,1))*Parameters!$B$7,2)</f>
        <v/>
      </c>
      <c r="F39" s="7" t="n">
        <v>2.4</v>
      </c>
      <c r="G39" s="7">
        <f>ROUND((D39*IF(AND(B39="stuff",ISNUMBER(SEARCH("(sharp)",C39))),Parameters!$B$2*Parameters!$B$3,IF(AND(B39="stuff",ISNUMBER(SEARCH("(blunt)",C39))),Parameters!$B$2*Parameters!$B$5,Parameters!$B$2)))/(F39*IF(AND(B39="stuff",OR(ISNUMBER(SEARCH("(sharp)",C39)),ISNUMBER(SEARCH("(heat)",C39)))),Parameters!$B$4,IF(AND(B39="stuff",ISNUMBER(SEARCH("(blunt)",C39))),Parameters!$B$6,1))),2)</f>
        <v/>
      </c>
    </row>
    <row r="40">
      <c r="A40" s="6" t="inlineStr">
        <is>
          <t>RK_Fork</t>
        </is>
      </c>
      <c r="B40" s="6" t="inlineStr">
        <is>
          <t>stuff</t>
        </is>
      </c>
      <c r="C40" s="6" t="inlineStr">
        <is>
          <t>Cut(sharp)</t>
        </is>
      </c>
      <c r="D40" s="7" t="n">
        <v>14</v>
      </c>
      <c r="E40" s="7">
        <f>ROUND(D40*Parameters!$B$2*IF(AND(B40="stuff",OR(ISNUMBER(SEARCH("(sharp)",C40)),ISNUMBER(SEARCH("(heat)",C40)))),Edit_Values!$B$2,IF(AND(B40="stuff",ISNUMBER(SEARCH("(blunt)",C40))),Edit_Values!$B$4,1))*Parameters!$B$7,2)</f>
        <v/>
      </c>
      <c r="F40" s="7" t="n">
        <v>2</v>
      </c>
      <c r="G40" s="7">
        <f>ROUND((D40*IF(AND(B40="stuff",ISNUMBER(SEARCH("(sharp)",C40))),Parameters!$B$2*Parameters!$B$3,IF(AND(B40="stuff",ISNUMBER(SEARCH("(blunt)",C40))),Parameters!$B$2*Parameters!$B$5,Parameters!$B$2)))/(F40*IF(AND(B40="stuff",OR(ISNUMBER(SEARCH("(sharp)",C40)),ISNUMBER(SEARCH("(heat)",C40)))),Parameters!$B$4,IF(AND(B40="stuff",ISNUMBER(SEARCH("(blunt)",C40))),Parameters!$B$6,1))),2)</f>
        <v/>
      </c>
    </row>
    <row r="41">
      <c r="A41" s="6" t="inlineStr">
        <is>
          <t>RK_Pickaxe</t>
        </is>
      </c>
      <c r="B41" s="6" t="inlineStr">
        <is>
          <t>stuff</t>
        </is>
      </c>
      <c r="C41" s="6" t="inlineStr">
        <is>
          <t>Blunt(blunt)</t>
        </is>
      </c>
      <c r="D41" s="7" t="n">
        <v>20</v>
      </c>
      <c r="E41" s="7">
        <f>ROUND(D41*Parameters!$B$2*IF(AND(B41="stuff",OR(ISNUMBER(SEARCH("(sharp)",C41)),ISNUMBER(SEARCH("(heat)",C41)))),Edit_Values!$B$2,IF(AND(B41="stuff",ISNUMBER(SEARCH("(blunt)",C41))),Edit_Values!$B$4,1))*Parameters!$B$7,2)</f>
        <v/>
      </c>
      <c r="F41" s="7" t="n">
        <v>3</v>
      </c>
      <c r="G41" s="7">
        <f>ROUND((D41*IF(AND(B41="stuff",ISNUMBER(SEARCH("(sharp)",C41))),Parameters!$B$2*Parameters!$B$3,IF(AND(B41="stuff",ISNUMBER(SEARCH("(blunt)",C41))),Parameters!$B$2*Parameters!$B$5,Parameters!$B$2)))/(F41*IF(AND(B41="stuff",OR(ISNUMBER(SEARCH("(sharp)",C41)),ISNUMBER(SEARCH("(heat)",C41)))),Parameters!$B$4,IF(AND(B41="stuff",ISNUMBER(SEARCH("(blunt)",C41))),Parameters!$B$6,1))),2)</f>
        <v/>
      </c>
    </row>
    <row r="42">
      <c r="A42" s="6" t="inlineStr">
        <is>
          <t>RK_Pickaxe</t>
        </is>
      </c>
      <c r="B42" s="6" t="inlineStr">
        <is>
          <t>stuff</t>
        </is>
      </c>
      <c r="C42" s="6" t="inlineStr">
        <is>
          <t>RK_ToolCapacity_PickaxeStab(sharp)+Crush(blunt)</t>
        </is>
      </c>
      <c r="D42" s="7" t="n">
        <v>10</v>
      </c>
      <c r="E42" s="7" t="n">
        <v>0.82</v>
      </c>
      <c r="F42" s="7" t="n">
        <v>3</v>
      </c>
      <c r="G42" s="7">
        <f>ROUND((D42*IF(AND(B42="stuff",ISNUMBER(SEARCH("(sharp)",C42))),Parameters!$B$2*Parameters!$B$3,IF(AND(B42="stuff",ISNUMBER(SEARCH("(blunt)",C42))),Parameters!$B$2*Parameters!$B$5,Parameters!$B$2)))/(F42*IF(AND(B42="stuff",OR(ISNUMBER(SEARCH("(sharp)",C42)),ISNUMBER(SEARCH("(heat)",C42)))),Parameters!$B$4,IF(AND(B42="stuff",ISNUMBER(SEARCH("(blunt)",C42))),Parameters!$B$6,1))),2)</f>
        <v/>
      </c>
    </row>
  </sheetData>
  <autoFilter ref="A1:G4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24" customWidth="1" min="1" max="1"/>
    <col width="8" customWidth="1" min="2" max="2"/>
    <col width="28" customWidth="1" min="3" max="3"/>
    <col width="8" customWidth="1" min="4" max="4"/>
    <col width="40" customWidth="1" min="5" max="5"/>
    <col width="11" customWidth="1" min="6" max="6"/>
    <col width="40" customWidth="1" min="7" max="7"/>
  </cols>
  <sheetData>
    <row r="1">
      <c r="A1" s="5" t="inlineStr">
        <is>
          <t>defName</t>
        </is>
      </c>
      <c r="B1" s="5" t="inlineStr">
        <is>
          <t>생산</t>
        </is>
      </c>
      <c r="C1" s="5" t="inlineStr">
        <is>
          <t>damageType</t>
        </is>
      </c>
      <c r="D1" s="5" t="inlineStr">
        <is>
          <t>power</t>
        </is>
      </c>
      <c r="E1" s="5" t="inlineStr">
        <is>
          <t>piercing</t>
        </is>
      </c>
      <c r="F1" s="5" t="inlineStr">
        <is>
          <t>cooldown</t>
        </is>
      </c>
      <c r="G1" s="5" t="inlineStr">
        <is>
          <t>DPS</t>
        </is>
      </c>
    </row>
    <row r="2">
      <c r="A2" s="6" t="inlineStr">
        <is>
          <t>MeleeWeapon_BreachAxe</t>
        </is>
      </c>
      <c r="B2" s="6" t="inlineStr">
        <is>
          <t>stuff</t>
        </is>
      </c>
      <c r="C2" s="6" t="inlineStr">
        <is>
          <t>Blunt(blunt); Poke(blunt)</t>
        </is>
      </c>
      <c r="D2" s="7" t="n">
        <v>9</v>
      </c>
      <c r="E2" s="7">
        <f>ROUND(D2*Parameters!$B$2*IF(AND(B2="stuff",OR(ISNUMBER(SEARCH("(sharp)",C2)),ISNUMBER(SEARCH("(heat)",C2)))),Edit_Values!$B$2,IF(AND(B2="stuff",ISNUMBER(SEARCH("(blunt)",C2))),Edit_Values!$B$4,1))*Parameters!$B$7,2)</f>
        <v/>
      </c>
      <c r="F2" s="7" t="n">
        <v>2</v>
      </c>
      <c r="G2" s="7">
        <f>ROUND((D2*IF(AND(B2="stuff",ISNUMBER(SEARCH("(sharp)",C2))),Parameters!$B$2*Parameters!$B$3,IF(AND(B2="stuff",ISNUMBER(SEARCH("(blunt)",C2))),Parameters!$B$2*Parameters!$B$5,Parameters!$B$2)))/(F2*IF(AND(B2="stuff",OR(ISNUMBER(SEARCH("(sharp)",C2)),ISNUMBER(SEARCH("(heat)",C2)))),Parameters!$B$4,IF(AND(B2="stuff",ISNUMBER(SEARCH("(blunt)",C2))),Parameters!$B$6,1))),2)</f>
        <v/>
      </c>
    </row>
    <row r="3">
      <c r="A3" s="6" t="inlineStr">
        <is>
          <t>MeleeWeapon_BreachAxe</t>
        </is>
      </c>
      <c r="B3" s="6" t="inlineStr">
        <is>
          <t>stuff</t>
        </is>
      </c>
      <c r="C3" s="6" t="inlineStr">
        <is>
          <t>Demolish(blunt)</t>
        </is>
      </c>
      <c r="D3" s="7" t="n">
        <v>7.5</v>
      </c>
      <c r="E3" s="7">
        <f>ROUND(D3*Parameters!$B$2*IF(AND(B3="stuff",OR(ISNUMBER(SEARCH("(sharp)",C3)),ISNUMBER(SEARCH("(heat)",C3)))),Edit_Values!$B$2,IF(AND(B3="stuff",ISNUMBER(SEARCH("(blunt)",C3))),Edit_Values!$B$4,1))*Parameters!$B$7,2)</f>
        <v/>
      </c>
      <c r="F3" s="7" t="n">
        <v>1</v>
      </c>
      <c r="G3" s="7">
        <f>ROUND((D3*IF(AND(B3="stuff",ISNUMBER(SEARCH("(sharp)",C3))),Parameters!$B$2*Parameters!$B$3,IF(AND(B3="stuff",ISNUMBER(SEARCH("(blunt)",C3))),Parameters!$B$2*Parameters!$B$5,Parameters!$B$2)))/(F3*IF(AND(B3="stuff",OR(ISNUMBER(SEARCH("(sharp)",C3)),ISNUMBER(SEARCH("(heat)",C3)))),Parameters!$B$4,IF(AND(B3="stuff",ISNUMBER(SEARCH("(blunt)",C3))),Parameters!$B$6,1))),2)</f>
        <v/>
      </c>
    </row>
    <row r="4">
      <c r="A4" s="6" t="inlineStr">
        <is>
          <t>MeleeWeapon_Mace</t>
        </is>
      </c>
      <c r="B4" s="6" t="inlineStr">
        <is>
          <t>stuff</t>
        </is>
      </c>
      <c r="C4" s="6" t="inlineStr">
        <is>
          <t>Poke(blunt)</t>
        </is>
      </c>
      <c r="D4" s="7" t="n">
        <v>9</v>
      </c>
      <c r="E4" s="7">
        <f>ROUND(D4*Parameters!$B$2*IF(AND(B4="stuff",OR(ISNUMBER(SEARCH("(sharp)",C4)),ISNUMBER(SEARCH("(heat)",C4)))),Edit_Values!$B$2,IF(AND(B4="stuff",ISNUMBER(SEARCH("(blunt)",C4))),Edit_Values!$B$4,1))*Parameters!$B$7,2)</f>
        <v/>
      </c>
      <c r="F4" s="7" t="n">
        <v>2</v>
      </c>
      <c r="G4" s="7">
        <f>ROUND((D4*IF(AND(B4="stuff",ISNUMBER(SEARCH("(sharp)",C4))),Parameters!$B$2*Parameters!$B$3,IF(AND(B4="stuff",ISNUMBER(SEARCH("(blunt)",C4))),Parameters!$B$2*Parameters!$B$5,Parameters!$B$2)))/(F4*IF(AND(B4="stuff",OR(ISNUMBER(SEARCH("(sharp)",C4)),ISNUMBER(SEARCH("(heat)",C4)))),Parameters!$B$4,IF(AND(B4="stuff",ISNUMBER(SEARCH("(blunt)",C4))),Parameters!$B$6,1))),2)</f>
        <v/>
      </c>
    </row>
    <row r="5">
      <c r="A5" s="6" t="inlineStr">
        <is>
          <t>MeleeWeapon_Mace</t>
        </is>
      </c>
      <c r="B5" s="6" t="inlineStr">
        <is>
          <t>stuff</t>
        </is>
      </c>
      <c r="C5" s="6" t="inlineStr">
        <is>
          <t>Blunt(blunt)</t>
        </is>
      </c>
      <c r="D5" s="7" t="n">
        <v>15.7</v>
      </c>
      <c r="E5" s="7">
        <f>ROUND(D5*Parameters!$B$2*IF(AND(B5="stuff",OR(ISNUMBER(SEARCH("(sharp)",C5)),ISNUMBER(SEARCH("(heat)",C5)))),Edit_Values!$B$2,IF(AND(B5="stuff",ISNUMBER(SEARCH("(blunt)",C5))),Edit_Values!$B$4,1))*Parameters!$B$7,2)</f>
        <v/>
      </c>
      <c r="F5" s="7" t="n">
        <v>2</v>
      </c>
      <c r="G5" s="7">
        <f>ROUND((D5*IF(AND(B5="stuff",ISNUMBER(SEARCH("(sharp)",C5))),Parameters!$B$2*Parameters!$B$3,IF(AND(B5="stuff",ISNUMBER(SEARCH("(blunt)",C5))),Parameters!$B$2*Parameters!$B$5,Parameters!$B$2)))/(F5*IF(AND(B5="stuff",OR(ISNUMBER(SEARCH("(sharp)",C5)),ISNUMBER(SEARCH("(heat)",C5)))),Parameters!$B$4,IF(AND(B5="stuff",ISNUMBER(SEARCH("(blunt)",C5))),Parameters!$B$6,1))),2)</f>
        <v/>
      </c>
    </row>
    <row r="6">
      <c r="A6" s="6" t="inlineStr">
        <is>
          <t>MeleeWeapon_Gladius</t>
        </is>
      </c>
      <c r="B6" s="6" t="inlineStr">
        <is>
          <t>stuff</t>
        </is>
      </c>
      <c r="C6" s="6" t="inlineStr">
        <is>
          <t>Blunt(blunt)</t>
        </is>
      </c>
      <c r="D6" s="7" t="n">
        <v>9</v>
      </c>
      <c r="E6" s="7">
        <f>ROUND(D6*Parameters!$B$2*IF(AND(B6="stuff",OR(ISNUMBER(SEARCH("(sharp)",C6)),ISNUMBER(SEARCH("(heat)",C6)))),Edit_Values!$B$2,IF(AND(B6="stuff",ISNUMBER(SEARCH("(blunt)",C6))),Edit_Values!$B$4,1))*Parameters!$B$7,2)</f>
        <v/>
      </c>
      <c r="F6" s="7" t="n">
        <v>2</v>
      </c>
      <c r="G6" s="7">
        <f>ROUND((D6*IF(AND(B6="stuff",ISNUMBER(SEARCH("(sharp)",C6))),Parameters!$B$2*Parameters!$B$3,IF(AND(B6="stuff",ISNUMBER(SEARCH("(blunt)",C6))),Parameters!$B$2*Parameters!$B$5,Parameters!$B$2)))/(F6*IF(AND(B6="stuff",OR(ISNUMBER(SEARCH("(sharp)",C6)),ISNUMBER(SEARCH("(heat)",C6)))),Parameters!$B$4,IF(AND(B6="stuff",ISNUMBER(SEARCH("(blunt)",C6))),Parameters!$B$6,1))),2)</f>
        <v/>
      </c>
    </row>
    <row r="7">
      <c r="A7" s="6" t="inlineStr">
        <is>
          <t>MeleeWeapon_Gladius</t>
        </is>
      </c>
      <c r="B7" s="6" t="inlineStr">
        <is>
          <t>stuff</t>
        </is>
      </c>
      <c r="C7" s="6" t="inlineStr">
        <is>
          <t>Stab(sharp)</t>
        </is>
      </c>
      <c r="D7" s="7" t="n">
        <v>16</v>
      </c>
      <c r="E7" s="7">
        <f>ROUND(D7*Parameters!$B$2*IF(AND(B7="stuff",OR(ISNUMBER(SEARCH("(sharp)",C7)),ISNUMBER(SEARCH("(heat)",C7)))),Edit_Values!$B$2,IF(AND(B7="stuff",ISNUMBER(SEARCH("(blunt)",C7))),Edit_Values!$B$4,1))*Parameters!$B$7,2)</f>
        <v/>
      </c>
      <c r="F7" s="7" t="n">
        <v>2</v>
      </c>
      <c r="G7" s="7">
        <f>ROUND((D7*IF(AND(B7="stuff",ISNUMBER(SEARCH("(sharp)",C7))),Parameters!$B$2*Parameters!$B$3,IF(AND(B7="stuff",ISNUMBER(SEARCH("(blunt)",C7))),Parameters!$B$2*Parameters!$B$5,Parameters!$B$2)))/(F7*IF(AND(B7="stuff",OR(ISNUMBER(SEARCH("(sharp)",C7)),ISNUMBER(SEARCH("(heat)",C7)))),Parameters!$B$4,IF(AND(B7="stuff",ISNUMBER(SEARCH("(blunt)",C7))),Parameters!$B$6,1))),2)</f>
        <v/>
      </c>
    </row>
    <row r="8">
      <c r="A8" s="6" t="inlineStr">
        <is>
          <t>MeleeWeapon_Gladius</t>
        </is>
      </c>
      <c r="B8" s="6" t="inlineStr">
        <is>
          <t>stuff</t>
        </is>
      </c>
      <c r="C8" s="6" t="inlineStr">
        <is>
          <t>Cut(sharp)</t>
        </is>
      </c>
      <c r="D8" s="7" t="n">
        <v>16</v>
      </c>
      <c r="E8" s="7">
        <f>ROUND(D8*Parameters!$B$2*IF(AND(B8="stuff",OR(ISNUMBER(SEARCH("(sharp)",C8)),ISNUMBER(SEARCH("(heat)",C8)))),Edit_Values!$B$2,IF(AND(B8="stuff",ISNUMBER(SEARCH("(blunt)",C8))),Edit_Values!$B$4,1))*Parameters!$B$7,2)</f>
        <v/>
      </c>
      <c r="F8" s="7" t="n">
        <v>2</v>
      </c>
      <c r="G8" s="7">
        <f>ROUND((D8*IF(AND(B8="stuff",ISNUMBER(SEARCH("(sharp)",C8))),Parameters!$B$2*Parameters!$B$3,IF(AND(B8="stuff",ISNUMBER(SEARCH("(blunt)",C8))),Parameters!$B$2*Parameters!$B$5,Parameters!$B$2)))/(F8*IF(AND(B8="stuff",OR(ISNUMBER(SEARCH("(sharp)",C8)),ISNUMBER(SEARCH("(heat)",C8)))),Parameters!$B$4,IF(AND(B8="stuff",ISNUMBER(SEARCH("(blunt)",C8))),Parameters!$B$6,1))),2)</f>
        <v/>
      </c>
    </row>
    <row r="9">
      <c r="A9" s="6" t="inlineStr">
        <is>
          <t>MeleeWeapon_LongSword</t>
        </is>
      </c>
      <c r="B9" s="6" t="inlineStr">
        <is>
          <t>stuff</t>
        </is>
      </c>
      <c r="C9" s="6" t="inlineStr">
        <is>
          <t>Blunt(blunt)</t>
        </is>
      </c>
      <c r="D9" s="7" t="n">
        <v>9</v>
      </c>
      <c r="E9" s="7">
        <f>ROUND(D9*Parameters!$B$2*IF(AND(B9="stuff",OR(ISNUMBER(SEARCH("(sharp)",C9)),ISNUMBER(SEARCH("(heat)",C9)))),Edit_Values!$B$2,IF(AND(B9="stuff",ISNUMBER(SEARCH("(blunt)",C9))),Edit_Values!$B$4,1))*Parameters!$B$7,2)</f>
        <v/>
      </c>
      <c r="F9" s="7" t="n">
        <v>2</v>
      </c>
      <c r="G9" s="7">
        <f>ROUND((D9*IF(AND(B9="stuff",ISNUMBER(SEARCH("(sharp)",C9))),Parameters!$B$2*Parameters!$B$3,IF(AND(B9="stuff",ISNUMBER(SEARCH("(blunt)",C9))),Parameters!$B$2*Parameters!$B$5,Parameters!$B$2)))/(F9*IF(AND(B9="stuff",OR(ISNUMBER(SEARCH("(sharp)",C9)),ISNUMBER(SEARCH("(heat)",C9)))),Parameters!$B$4,IF(AND(B9="stuff",ISNUMBER(SEARCH("(blunt)",C9))),Parameters!$B$6,1))),2)</f>
        <v/>
      </c>
    </row>
    <row r="10">
      <c r="A10" s="6" t="inlineStr">
        <is>
          <t>MeleeWeapon_LongSword</t>
        </is>
      </c>
      <c r="B10" s="6" t="inlineStr">
        <is>
          <t>stuff</t>
        </is>
      </c>
      <c r="C10" s="6" t="inlineStr">
        <is>
          <t>Stab(sharp)</t>
        </is>
      </c>
      <c r="D10" s="7" t="n">
        <v>23</v>
      </c>
      <c r="E10" s="7">
        <f>ROUND(D10*Parameters!$B$2*IF(AND(B10="stuff",OR(ISNUMBER(SEARCH("(sharp)",C10)),ISNUMBER(SEARCH("(heat)",C10)))),Edit_Values!$B$2,IF(AND(B10="stuff",ISNUMBER(SEARCH("(blunt)",C10))),Edit_Values!$B$4,1))*Parameters!$B$7,2)</f>
        <v/>
      </c>
      <c r="F10" s="7" t="n">
        <v>2.6</v>
      </c>
      <c r="G10" s="7">
        <f>ROUND((D10*IF(AND(B10="stuff",ISNUMBER(SEARCH("(sharp)",C10))),Parameters!$B$2*Parameters!$B$3,IF(AND(B10="stuff",ISNUMBER(SEARCH("(blunt)",C10))),Parameters!$B$2*Parameters!$B$5,Parameters!$B$2)))/(F10*IF(AND(B10="stuff",OR(ISNUMBER(SEARCH("(sharp)",C10)),ISNUMBER(SEARCH("(heat)",C10)))),Parameters!$B$4,IF(AND(B10="stuff",ISNUMBER(SEARCH("(blunt)",C10))),Parameters!$B$6,1))),2)</f>
        <v/>
      </c>
    </row>
    <row r="11">
      <c r="A11" s="6" t="inlineStr">
        <is>
          <t>MeleeWeapon_LongSword</t>
        </is>
      </c>
      <c r="B11" s="6" t="inlineStr">
        <is>
          <t>stuff</t>
        </is>
      </c>
      <c r="C11" s="6" t="inlineStr">
        <is>
          <t>Cut(sharp)</t>
        </is>
      </c>
      <c r="D11" s="7" t="n">
        <v>23</v>
      </c>
      <c r="E11" s="7">
        <f>ROUND(D11*Parameters!$B$2*IF(AND(B11="stuff",OR(ISNUMBER(SEARCH("(sharp)",C11)),ISNUMBER(SEARCH("(heat)",C11)))),Edit_Values!$B$2,IF(AND(B11="stuff",ISNUMBER(SEARCH("(blunt)",C11))),Edit_Values!$B$4,1))*Parameters!$B$7,2)</f>
        <v/>
      </c>
      <c r="F11" s="7" t="n">
        <v>2.6</v>
      </c>
      <c r="G11" s="7">
        <f>ROUND((D11*IF(AND(B11="stuff",ISNUMBER(SEARCH("(sharp)",C11))),Parameters!$B$2*Parameters!$B$3,IF(AND(B11="stuff",ISNUMBER(SEARCH("(blunt)",C11))),Parameters!$B$2*Parameters!$B$5,Parameters!$B$2)))/(F11*IF(AND(B11="stuff",OR(ISNUMBER(SEARCH("(sharp)",C11)),ISNUMBER(SEARCH("(heat)",C11)))),Parameters!$B$4,IF(AND(B11="stuff",ISNUMBER(SEARCH("(blunt)",C11))),Parameters!$B$6,1))),2)</f>
        <v/>
      </c>
    </row>
    <row r="12">
      <c r="A12" s="6" t="inlineStr">
        <is>
          <t>MeleeWeapon_Club</t>
        </is>
      </c>
      <c r="B12" s="6" t="inlineStr">
        <is>
          <t>stuff</t>
        </is>
      </c>
      <c r="C12" s="6" t="inlineStr">
        <is>
          <t>Poke(blunt)</t>
        </is>
      </c>
      <c r="D12" s="7" t="n">
        <v>9</v>
      </c>
      <c r="E12" s="7">
        <f>ROUND(D12*Parameters!$B$2*IF(AND(B12="stuff",OR(ISNUMBER(SEARCH("(sharp)",C12)),ISNUMBER(SEARCH("(heat)",C12)))),Edit_Values!$B$2,IF(AND(B12="stuff",ISNUMBER(SEARCH("(blunt)",C12))),Edit_Values!$B$4,1))*Parameters!$B$7,2)</f>
        <v/>
      </c>
      <c r="F12" s="7" t="n">
        <v>2</v>
      </c>
      <c r="G12" s="7">
        <f>ROUND((D12*IF(AND(B12="stuff",ISNUMBER(SEARCH("(sharp)",C12))),Parameters!$B$2*Parameters!$B$3,IF(AND(B12="stuff",ISNUMBER(SEARCH("(blunt)",C12))),Parameters!$B$2*Parameters!$B$5,Parameters!$B$2)))/(F12*IF(AND(B12="stuff",OR(ISNUMBER(SEARCH("(sharp)",C12)),ISNUMBER(SEARCH("(heat)",C12)))),Parameters!$B$4,IF(AND(B12="stuff",ISNUMBER(SEARCH("(blunt)",C12))),Parameters!$B$6,1))),2)</f>
        <v/>
      </c>
    </row>
    <row r="13">
      <c r="A13" s="6" t="inlineStr">
        <is>
          <t>MeleeWeapon_Club</t>
        </is>
      </c>
      <c r="B13" s="6" t="inlineStr">
        <is>
          <t>stuff</t>
        </is>
      </c>
      <c r="C13" s="6" t="inlineStr">
        <is>
          <t>Blunt(blunt)</t>
        </is>
      </c>
      <c r="D13" s="7" t="n">
        <v>14</v>
      </c>
      <c r="E13" s="7">
        <f>ROUND(D13*Parameters!$B$2*IF(AND(B13="stuff",OR(ISNUMBER(SEARCH("(sharp)",C13)),ISNUMBER(SEARCH("(heat)",C13)))),Edit_Values!$B$2,IF(AND(B13="stuff",ISNUMBER(SEARCH("(blunt)",C13))),Edit_Values!$B$4,1))*Parameters!$B$7,2)</f>
        <v/>
      </c>
      <c r="F13" s="7" t="n">
        <v>2</v>
      </c>
      <c r="G13" s="7">
        <f>ROUND((D13*IF(AND(B13="stuff",ISNUMBER(SEARCH("(sharp)",C13))),Parameters!$B$2*Parameters!$B$3,IF(AND(B13="stuff",ISNUMBER(SEARCH("(blunt)",C13))),Parameters!$B$2*Parameters!$B$5,Parameters!$B$2)))/(F13*IF(AND(B13="stuff",OR(ISNUMBER(SEARCH("(sharp)",C13)),ISNUMBER(SEARCH("(heat)",C13)))),Parameters!$B$4,IF(AND(B13="stuff",ISNUMBER(SEARCH("(blunt)",C13))),Parameters!$B$6,1))),2)</f>
        <v/>
      </c>
    </row>
    <row r="14">
      <c r="A14" s="6" t="inlineStr">
        <is>
          <t>MeleeWeapon_Knife</t>
        </is>
      </c>
      <c r="B14" s="6" t="inlineStr">
        <is>
          <t>stuff</t>
        </is>
      </c>
      <c r="C14" s="6" t="inlineStr">
        <is>
          <t>Blunt(blunt)</t>
        </is>
      </c>
      <c r="D14" s="7" t="n">
        <v>9</v>
      </c>
      <c r="E14" s="7">
        <f>ROUND(D14*Parameters!$B$2*IF(AND(B14="stuff",OR(ISNUMBER(SEARCH("(sharp)",C14)),ISNUMBER(SEARCH("(heat)",C14)))),Edit_Values!$B$2,IF(AND(B14="stuff",ISNUMBER(SEARCH("(blunt)",C14))),Edit_Values!$B$4,1))*Parameters!$B$7,2)</f>
        <v/>
      </c>
      <c r="F14" s="7" t="n">
        <v>2</v>
      </c>
      <c r="G14" s="7">
        <f>ROUND((D14*IF(AND(B14="stuff",ISNUMBER(SEARCH("(sharp)",C14))),Parameters!$B$2*Parameters!$B$3,IF(AND(B14="stuff",ISNUMBER(SEARCH("(blunt)",C14))),Parameters!$B$2*Parameters!$B$5,Parameters!$B$2)))/(F14*IF(AND(B14="stuff",OR(ISNUMBER(SEARCH("(sharp)",C14)),ISNUMBER(SEARCH("(heat)",C14)))),Parameters!$B$4,IF(AND(B14="stuff",ISNUMBER(SEARCH("(blunt)",C14))),Parameters!$B$6,1))),2)</f>
        <v/>
      </c>
    </row>
    <row r="15">
      <c r="A15" s="6" t="inlineStr">
        <is>
          <t>MeleeWeapon_Knife</t>
        </is>
      </c>
      <c r="B15" s="6" t="inlineStr">
        <is>
          <t>stuff</t>
        </is>
      </c>
      <c r="C15" s="6" t="inlineStr">
        <is>
          <t>Cut(sharp)</t>
        </is>
      </c>
      <c r="D15" s="7" t="n">
        <v>12</v>
      </c>
      <c r="E15" s="7">
        <f>ROUND(D15*Parameters!$B$2*IF(AND(B15="stuff",OR(ISNUMBER(SEARCH("(sharp)",C15)),ISNUMBER(SEARCH("(heat)",C15)))),Edit_Values!$B$2,IF(AND(B15="stuff",ISNUMBER(SEARCH("(blunt)",C15))),Edit_Values!$B$4,1))*Parameters!$B$7,2)</f>
        <v/>
      </c>
      <c r="F15" s="7" t="n">
        <v>1.5</v>
      </c>
      <c r="G15" s="7">
        <f>ROUND((D15*IF(AND(B15="stuff",ISNUMBER(SEARCH("(sharp)",C15))),Parameters!$B$2*Parameters!$B$3,IF(AND(B15="stuff",ISNUMBER(SEARCH("(blunt)",C15))),Parameters!$B$2*Parameters!$B$5,Parameters!$B$2)))/(F15*IF(AND(B15="stuff",OR(ISNUMBER(SEARCH("(sharp)",C15)),ISNUMBER(SEARCH("(heat)",C15)))),Parameters!$B$4,IF(AND(B15="stuff",ISNUMBER(SEARCH("(blunt)",C15))),Parameters!$B$6,1))),2)</f>
        <v/>
      </c>
    </row>
    <row r="16">
      <c r="A16" s="6" t="inlineStr">
        <is>
          <t>MeleeWeapon_Knife</t>
        </is>
      </c>
      <c r="B16" s="6" t="inlineStr">
        <is>
          <t>stuff</t>
        </is>
      </c>
      <c r="C16" s="6" t="inlineStr">
        <is>
          <t>Stab(sharp)</t>
        </is>
      </c>
      <c r="D16" s="7" t="n">
        <v>13</v>
      </c>
      <c r="E16" s="7">
        <f>ROUND(D16*Parameters!$B$2*IF(AND(B16="stuff",OR(ISNUMBER(SEARCH("(sharp)",C16)),ISNUMBER(SEARCH("(heat)",C16)))),Edit_Values!$B$2,IF(AND(B16="stuff",ISNUMBER(SEARCH("(blunt)",C16))),Edit_Values!$B$4,1))*Parameters!$B$7,2)</f>
        <v/>
      </c>
      <c r="F16" s="7" t="n">
        <v>2</v>
      </c>
      <c r="G16" s="7">
        <f>ROUND((D16*IF(AND(B16="stuff",ISNUMBER(SEARCH("(sharp)",C16))),Parameters!$B$2*Parameters!$B$3,IF(AND(B16="stuff",ISNUMBER(SEARCH("(blunt)",C16))),Parameters!$B$2*Parameters!$B$5,Parameters!$B$2)))/(F16*IF(AND(B16="stuff",OR(ISNUMBER(SEARCH("(sharp)",C16)),ISNUMBER(SEARCH("(heat)",C16)))),Parameters!$B$4,IF(AND(B16="stuff",ISNUMBER(SEARCH("(blunt)",C16))),Parameters!$B$6,1))),2)</f>
        <v/>
      </c>
    </row>
    <row r="17">
      <c r="A17" s="6" t="inlineStr">
        <is>
          <t>MeleeWeapon_Ikwa</t>
        </is>
      </c>
      <c r="B17" s="6" t="inlineStr">
        <is>
          <t>stuff</t>
        </is>
      </c>
      <c r="C17" s="6" t="inlineStr">
        <is>
          <t>Blunt(blunt); Poke(blunt)</t>
        </is>
      </c>
      <c r="D17" s="7" t="n">
        <v>9</v>
      </c>
      <c r="E17" s="7">
        <f>ROUND(D17*Parameters!$B$2*IF(AND(B17="stuff",OR(ISNUMBER(SEARCH("(sharp)",C17)),ISNUMBER(SEARCH("(heat)",C17)))),Edit_Values!$B$2,IF(AND(B17="stuff",ISNUMBER(SEARCH("(blunt)",C17))),Edit_Values!$B$4,1))*Parameters!$B$7,2)</f>
        <v/>
      </c>
      <c r="F17" s="7" t="n">
        <v>2</v>
      </c>
      <c r="G17" s="7">
        <f>ROUND((D17*IF(AND(B17="stuff",ISNUMBER(SEARCH("(sharp)",C17))),Parameters!$B$2*Parameters!$B$3,IF(AND(B17="stuff",ISNUMBER(SEARCH("(blunt)",C17))),Parameters!$B$2*Parameters!$B$5,Parameters!$B$2)))/(F17*IF(AND(B17="stuff",OR(ISNUMBER(SEARCH("(sharp)",C17)),ISNUMBER(SEARCH("(heat)",C17)))),Parameters!$B$4,IF(AND(B17="stuff",ISNUMBER(SEARCH("(blunt)",C17))),Parameters!$B$6,1))),2)</f>
        <v/>
      </c>
    </row>
    <row r="18">
      <c r="A18" s="6" t="inlineStr">
        <is>
          <t>MeleeWeapon_Ikwa</t>
        </is>
      </c>
      <c r="B18" s="6" t="inlineStr">
        <is>
          <t>stuff</t>
        </is>
      </c>
      <c r="C18" s="6" t="inlineStr">
        <is>
          <t>Stab(sharp)</t>
        </is>
      </c>
      <c r="D18" s="7" t="n">
        <v>15</v>
      </c>
      <c r="E18" s="7">
        <f>ROUND(D18*Parameters!$B$2*IF(AND(B18="stuff",OR(ISNUMBER(SEARCH("(sharp)",C18)),ISNUMBER(SEARCH("(heat)",C18)))),Edit_Values!$B$2,IF(AND(B18="stuff",ISNUMBER(SEARCH("(blunt)",C18))),Edit_Values!$B$4,1))*Parameters!$B$7,2)</f>
        <v/>
      </c>
      <c r="F18" s="7" t="n">
        <v>2</v>
      </c>
      <c r="G18" s="7">
        <f>ROUND((D18*IF(AND(B18="stuff",ISNUMBER(SEARCH("(sharp)",C18))),Parameters!$B$2*Parameters!$B$3,IF(AND(B18="stuff",ISNUMBER(SEARCH("(blunt)",C18))),Parameters!$B$2*Parameters!$B$5,Parameters!$B$2)))/(F18*IF(AND(B18="stuff",OR(ISNUMBER(SEARCH("(sharp)",C18)),ISNUMBER(SEARCH("(heat)",C18)))),Parameters!$B$4,IF(AND(B18="stuff",ISNUMBER(SEARCH("(blunt)",C18))),Parameters!$B$6,1))),2)</f>
        <v/>
      </c>
    </row>
    <row r="19">
      <c r="A19" s="6" t="inlineStr">
        <is>
          <t>MeleeWeapon_Ikwa</t>
        </is>
      </c>
      <c r="B19" s="6" t="inlineStr">
        <is>
          <t>stuff</t>
        </is>
      </c>
      <c r="C19" s="6" t="inlineStr">
        <is>
          <t>Cut(sharp)</t>
        </is>
      </c>
      <c r="D19" s="7" t="n">
        <v>15</v>
      </c>
      <c r="E19" s="7">
        <f>ROUND(D19*Parameters!$B$2*IF(AND(B19="stuff",OR(ISNUMBER(SEARCH("(sharp)",C19)),ISNUMBER(SEARCH("(heat)",C19)))),Edit_Values!$B$2,IF(AND(B19="stuff",ISNUMBER(SEARCH("(blunt)",C19))),Edit_Values!$B$4,1))*Parameters!$B$7,2)</f>
        <v/>
      </c>
      <c r="F19" s="7" t="n">
        <v>2</v>
      </c>
      <c r="G19" s="7">
        <f>ROUND((D19*IF(AND(B19="stuff",ISNUMBER(SEARCH("(sharp)",C19))),Parameters!$B$2*Parameters!$B$3,IF(AND(B19="stuff",ISNUMBER(SEARCH("(blunt)",C19))),Parameters!$B$2*Parameters!$B$5,Parameters!$B$2)))/(F19*IF(AND(B19="stuff",OR(ISNUMBER(SEARCH("(sharp)",C19)),ISNUMBER(SEARCH("(heat)",C19)))),Parameters!$B$4,IF(AND(B19="stuff",ISNUMBER(SEARCH("(blunt)",C19))),Parameters!$B$6,1))),2)</f>
        <v/>
      </c>
    </row>
    <row r="20">
      <c r="A20" s="6" t="inlineStr">
        <is>
          <t>MeleeWeapon_Spear</t>
        </is>
      </c>
      <c r="B20" s="6" t="inlineStr">
        <is>
          <t>stuff</t>
        </is>
      </c>
      <c r="C20" s="6" t="inlineStr">
        <is>
          <t>Blunt(blunt); Poke(blunt)</t>
        </is>
      </c>
      <c r="D20" s="7" t="n">
        <v>13</v>
      </c>
      <c r="E20" s="7">
        <f>ROUND(D20*Parameters!$B$2*IF(AND(B20="stuff",OR(ISNUMBER(SEARCH("(sharp)",C20)),ISNUMBER(SEARCH("(heat)",C20)))),Edit_Values!$B$2,IF(AND(B20="stuff",ISNUMBER(SEARCH("(blunt)",C20))),Edit_Values!$B$4,1))*Parameters!$B$7,2)</f>
        <v/>
      </c>
      <c r="F20" s="7" t="n">
        <v>2.6</v>
      </c>
      <c r="G20" s="7">
        <f>ROUND((D20*IF(AND(B20="stuff",ISNUMBER(SEARCH("(sharp)",C20))),Parameters!$B$2*Parameters!$B$3,IF(AND(B20="stuff",ISNUMBER(SEARCH("(blunt)",C20))),Parameters!$B$2*Parameters!$B$5,Parameters!$B$2)))/(F20*IF(AND(B20="stuff",OR(ISNUMBER(SEARCH("(sharp)",C20)),ISNUMBER(SEARCH("(heat)",C20)))),Parameters!$B$4,IF(AND(B20="stuff",ISNUMBER(SEARCH("(blunt)",C20))),Parameters!$B$6,1))),2)</f>
        <v/>
      </c>
    </row>
    <row r="21">
      <c r="A21" s="6" t="inlineStr">
        <is>
          <t>MeleeWeapon_Spear</t>
        </is>
      </c>
      <c r="B21" s="6" t="inlineStr">
        <is>
          <t>stuff</t>
        </is>
      </c>
      <c r="C21" s="6" t="inlineStr">
        <is>
          <t>Stab(sharp)</t>
        </is>
      </c>
      <c r="D21" s="7" t="n">
        <v>23</v>
      </c>
      <c r="E21" s="7" t="n">
        <v>0.82</v>
      </c>
      <c r="F21" s="7" t="n">
        <v>2.6</v>
      </c>
      <c r="G21" s="7">
        <f>ROUND((D21*IF(AND(B21="stuff",ISNUMBER(SEARCH("(sharp)",C21))),Parameters!$B$2*Parameters!$B$3,IF(AND(B21="stuff",ISNUMBER(SEARCH("(blunt)",C21))),Parameters!$B$2*Parameters!$B$5,Parameters!$B$2)))/(F21*IF(AND(B21="stuff",OR(ISNUMBER(SEARCH("(sharp)",C21)),ISNUMBER(SEARCH("(heat)",C21)))),Parameters!$B$4,IF(AND(B21="stuff",ISNUMBER(SEARCH("(blunt)",C21))),Parameters!$B$6,1))),2)</f>
        <v/>
      </c>
    </row>
  </sheetData>
  <autoFilter ref="A1:G2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35" customWidth="1" min="1" max="1"/>
    <col width="8" customWidth="1" min="2" max="2"/>
    <col width="26" customWidth="1" min="3" max="3"/>
    <col width="8" customWidth="1" min="4" max="4"/>
    <col width="40" customWidth="1" min="5" max="5"/>
    <col width="11" customWidth="1" min="6" max="6"/>
    <col width="40" customWidth="1" min="7" max="7"/>
  </cols>
  <sheetData>
    <row r="1">
      <c r="A1" s="5" t="inlineStr">
        <is>
          <t>defName</t>
        </is>
      </c>
      <c r="B1" s="5" t="inlineStr">
        <is>
          <t>생산</t>
        </is>
      </c>
      <c r="C1" s="5" t="inlineStr">
        <is>
          <t>damageType</t>
        </is>
      </c>
      <c r="D1" s="5" t="inlineStr">
        <is>
          <t>power</t>
        </is>
      </c>
      <c r="E1" s="5" t="inlineStr">
        <is>
          <t>piercing</t>
        </is>
      </c>
      <c r="F1" s="5" t="inlineStr">
        <is>
          <t>cooldown</t>
        </is>
      </c>
      <c r="G1" s="5" t="inlineStr">
        <is>
          <t>DPS</t>
        </is>
      </c>
    </row>
    <row r="2">
      <c r="A2" s="6" t="inlineStr">
        <is>
          <t>MeleeWeapon_MonoSwordBladelink</t>
        </is>
      </c>
      <c r="B2" s="6" t="inlineStr">
        <is>
          <t>생산 불가</t>
        </is>
      </c>
      <c r="C2" s="6" t="inlineStr">
        <is>
          <t>Blunt(blunt)</t>
        </is>
      </c>
      <c r="D2" s="7" t="n">
        <v>12</v>
      </c>
      <c r="E2" s="7">
        <f>ROUND(D2*Parameters!$B$2*IF(AND(B2="stuff",OR(ISNUMBER(SEARCH("(sharp)",C2)),ISNUMBER(SEARCH("(heat)",C2)))),Edit_Values!$B$2,IF(AND(B2="stuff",ISNUMBER(SEARCH("(blunt)",C2))),Edit_Values!$B$4,1))*Parameters!$B$7,2)</f>
        <v/>
      </c>
      <c r="F2" s="7" t="n">
        <v>1.6</v>
      </c>
      <c r="G2" s="7">
        <f>ROUND((D2*IF(AND(B2="stuff",ISNUMBER(SEARCH("(sharp)",C2))),Parameters!$B$2*Parameters!$B$3,IF(AND(B2="stuff",ISNUMBER(SEARCH("(blunt)",C2))),Parameters!$B$2*Parameters!$B$5,Parameters!$B$2)))/(F2*IF(AND(B2="stuff",OR(ISNUMBER(SEARCH("(sharp)",C2)),ISNUMBER(SEARCH("(heat)",C2)))),Parameters!$B$4,IF(AND(B2="stuff",ISNUMBER(SEARCH("(blunt)",C2))),Parameters!$B$6,1))),2)</f>
        <v/>
      </c>
    </row>
    <row r="3">
      <c r="A3" s="6" t="inlineStr">
        <is>
          <t>MeleeWeapon_MonoSwordBladelink</t>
        </is>
      </c>
      <c r="B3" s="6" t="inlineStr">
        <is>
          <t>생산 불가</t>
        </is>
      </c>
      <c r="C3" s="6" t="inlineStr">
        <is>
          <t>Stab(sharp)</t>
        </is>
      </c>
      <c r="D3" s="7" t="n">
        <v>27</v>
      </c>
      <c r="E3" s="7" t="n">
        <v>1.48</v>
      </c>
      <c r="F3" s="7" t="n">
        <v>1.6</v>
      </c>
      <c r="G3" s="7">
        <f>ROUND((D3*IF(AND(B3="stuff",ISNUMBER(SEARCH("(sharp)",C3))),Parameters!$B$2*Parameters!$B$3,IF(AND(B3="stuff",ISNUMBER(SEARCH("(blunt)",C3))),Parameters!$B$2*Parameters!$B$5,Parameters!$B$2)))/(F3*IF(AND(B3="stuff",OR(ISNUMBER(SEARCH("(sharp)",C3)),ISNUMBER(SEARCH("(heat)",C3)))),Parameters!$B$4,IF(AND(B3="stuff",ISNUMBER(SEARCH("(blunt)",C3))),Parameters!$B$6,1))),2)</f>
        <v/>
      </c>
    </row>
    <row r="4">
      <c r="A4" s="6" t="inlineStr">
        <is>
          <t>MeleeWeapon_MonoSwordBladelink</t>
        </is>
      </c>
      <c r="B4" s="6" t="inlineStr">
        <is>
          <t>생산 불가</t>
        </is>
      </c>
      <c r="C4" s="6" t="inlineStr">
        <is>
          <t>Cut(sharp)</t>
        </is>
      </c>
      <c r="D4" s="7" t="n">
        <v>27</v>
      </c>
      <c r="E4" s="7" t="n">
        <v>1.48</v>
      </c>
      <c r="F4" s="7" t="n">
        <v>1.6</v>
      </c>
      <c r="G4" s="7">
        <f>ROUND((D4*IF(AND(B4="stuff",ISNUMBER(SEARCH("(sharp)",C4))),Parameters!$B$2*Parameters!$B$3,IF(AND(B4="stuff",ISNUMBER(SEARCH("(blunt)",C4))),Parameters!$B$2*Parameters!$B$5,Parameters!$B$2)))/(F4*IF(AND(B4="stuff",OR(ISNUMBER(SEARCH("(sharp)",C4)),ISNUMBER(SEARCH("(heat)",C4)))),Parameters!$B$4,IF(AND(B4="stuff",ISNUMBER(SEARCH("(blunt)",C4))),Parameters!$B$6,1))),2)</f>
        <v/>
      </c>
    </row>
    <row r="5">
      <c r="A5" s="6" t="inlineStr">
        <is>
          <t>MeleeWeapon_ZeusHammerBladelink</t>
        </is>
      </c>
      <c r="B5" s="6" t="inlineStr">
        <is>
          <t>생산 불가</t>
        </is>
      </c>
      <c r="C5" s="6" t="inlineStr">
        <is>
          <t>Poke(blunt)</t>
        </is>
      </c>
      <c r="D5" s="7" t="n">
        <v>15</v>
      </c>
      <c r="E5" s="7">
        <f>ROUND(D5*Parameters!$B$2*IF(AND(B5="stuff",OR(ISNUMBER(SEARCH("(sharp)",C5)),ISNUMBER(SEARCH("(heat)",C5)))),Edit_Values!$B$2,IF(AND(B5="stuff",ISNUMBER(SEARCH("(blunt)",C5))),Edit_Values!$B$4,1))*Parameters!$B$7,2)</f>
        <v/>
      </c>
      <c r="F5" s="7" t="n">
        <v>1.6</v>
      </c>
      <c r="G5" s="7">
        <f>ROUND((D5*IF(AND(B5="stuff",ISNUMBER(SEARCH("(sharp)",C5))),Parameters!$B$2*Parameters!$B$3,IF(AND(B5="stuff",ISNUMBER(SEARCH("(blunt)",C5))),Parameters!$B$2*Parameters!$B$5,Parameters!$B$2)))/(F5*IF(AND(B5="stuff",OR(ISNUMBER(SEARCH("(sharp)",C5)),ISNUMBER(SEARCH("(heat)",C5)))),Parameters!$B$4,IF(AND(B5="stuff",ISNUMBER(SEARCH("(blunt)",C5))),Parameters!$B$6,1))),2)</f>
        <v/>
      </c>
    </row>
    <row r="6">
      <c r="A6" s="6" t="inlineStr">
        <is>
          <t>MeleeWeapon_ZeusHammerBladelink</t>
        </is>
      </c>
      <c r="B6" s="6" t="inlineStr">
        <is>
          <t>생산 불가</t>
        </is>
      </c>
      <c r="C6" s="6" t="inlineStr">
        <is>
          <t>Blunt(blunt)+EMP(sharp)</t>
        </is>
      </c>
      <c r="D6" s="7" t="n">
        <v>31</v>
      </c>
      <c r="E6" s="7">
        <f>ROUND(D6*Parameters!$B$2*IF(AND(B6="stuff",OR(ISNUMBER(SEARCH("(sharp)",C6)),ISNUMBER(SEARCH("(heat)",C6)))),Edit_Values!$B$2,IF(AND(B6="stuff",ISNUMBER(SEARCH("(blunt)",C6))),Edit_Values!$B$4,1))*Parameters!$B$7,2)</f>
        <v/>
      </c>
      <c r="F6" s="7" t="n">
        <v>2.2</v>
      </c>
      <c r="G6" s="7">
        <f>ROUND((D6*IF(AND(B6="stuff",ISNUMBER(SEARCH("(sharp)",C6))),Parameters!$B$2*Parameters!$B$3,IF(AND(B6="stuff",ISNUMBER(SEARCH("(blunt)",C6))),Parameters!$B$2*Parameters!$B$5,Parameters!$B$2)))/(F6*IF(AND(B6="stuff",OR(ISNUMBER(SEARCH("(sharp)",C6)),ISNUMBER(SEARCH("(heat)",C6)))),Parameters!$B$4,IF(AND(B6="stuff",ISNUMBER(SEARCH("(blunt)",C6))),Parameters!$B$6,1))),2)</f>
        <v/>
      </c>
    </row>
    <row r="7">
      <c r="A7" s="6" t="inlineStr">
        <is>
          <t>MeleeWeapon_PlasmaSwordBladelink</t>
        </is>
      </c>
      <c r="B7" s="6" t="inlineStr">
        <is>
          <t>생산 불가</t>
        </is>
      </c>
      <c r="C7" s="6" t="inlineStr">
        <is>
          <t>Blunt(blunt)</t>
        </is>
      </c>
      <c r="D7" s="7" t="n">
        <v>12</v>
      </c>
      <c r="E7" s="7">
        <f>ROUND(D7*Parameters!$B$2*IF(AND(B7="stuff",OR(ISNUMBER(SEARCH("(sharp)",C7)),ISNUMBER(SEARCH("(heat)",C7)))),Edit_Values!$B$2,IF(AND(B7="stuff",ISNUMBER(SEARCH("(blunt)",C7))),Edit_Values!$B$4,1))*Parameters!$B$7,2)</f>
        <v/>
      </c>
      <c r="F7" s="7" t="n">
        <v>1.6</v>
      </c>
      <c r="G7" s="7">
        <f>ROUND((D7*IF(AND(B7="stuff",ISNUMBER(SEARCH("(sharp)",C7))),Parameters!$B$2*Parameters!$B$3,IF(AND(B7="stuff",ISNUMBER(SEARCH("(blunt)",C7))),Parameters!$B$2*Parameters!$B$5,Parameters!$B$2)))/(F7*IF(AND(B7="stuff",OR(ISNUMBER(SEARCH("(sharp)",C7)),ISNUMBER(SEARCH("(heat)",C7)))),Parameters!$B$4,IF(AND(B7="stuff",ISNUMBER(SEARCH("(blunt)",C7))),Parameters!$B$6,1))),2)</f>
        <v/>
      </c>
    </row>
    <row r="8">
      <c r="A8" s="6" t="inlineStr">
        <is>
          <t>MeleeWeapon_PlasmaSwordBladelink</t>
        </is>
      </c>
      <c r="B8" s="6" t="inlineStr">
        <is>
          <t>생산 불가</t>
        </is>
      </c>
      <c r="C8" s="6" t="inlineStr">
        <is>
          <t>Stab(sharp)+Flame(heat)</t>
        </is>
      </c>
      <c r="D8" s="7" t="n">
        <v>23</v>
      </c>
      <c r="E8" s="7">
        <f>ROUND(D8*Parameters!$B$2*IF(AND(B8="stuff",OR(ISNUMBER(SEARCH("(sharp)",C8)),ISNUMBER(SEARCH("(heat)",C8)))),Edit_Values!$B$2,IF(AND(B8="stuff",ISNUMBER(SEARCH("(blunt)",C8))),Edit_Values!$B$4,1))*Parameters!$B$7,2)</f>
        <v/>
      </c>
      <c r="F8" s="7" t="n">
        <v>2</v>
      </c>
      <c r="G8" s="7">
        <f>ROUND((D8*IF(AND(B8="stuff",ISNUMBER(SEARCH("(sharp)",C8))),Parameters!$B$2*Parameters!$B$3,IF(AND(B8="stuff",ISNUMBER(SEARCH("(blunt)",C8))),Parameters!$B$2*Parameters!$B$5,Parameters!$B$2)))/(F8*IF(AND(B8="stuff",OR(ISNUMBER(SEARCH("(sharp)",C8)),ISNUMBER(SEARCH("(heat)",C8)))),Parameters!$B$4,IF(AND(B8="stuff",ISNUMBER(SEARCH("(blunt)",C8))),Parameters!$B$6,1))),2)</f>
        <v/>
      </c>
    </row>
    <row r="9">
      <c r="A9" s="6" t="inlineStr">
        <is>
          <t>MeleeWeapon_PlasmaSwordBladelink</t>
        </is>
      </c>
      <c r="B9" s="6" t="inlineStr">
        <is>
          <t>생산 불가</t>
        </is>
      </c>
      <c r="C9" s="6" t="inlineStr">
        <is>
          <t>Cut(sharp)+Flame(heat)</t>
        </is>
      </c>
      <c r="D9" s="7" t="n">
        <v>23</v>
      </c>
      <c r="E9" s="7">
        <f>ROUND(D9*Parameters!$B$2*IF(AND(B9="stuff",OR(ISNUMBER(SEARCH("(sharp)",C9)),ISNUMBER(SEARCH("(heat)",C9)))),Edit_Values!$B$2,IF(AND(B9="stuff",ISNUMBER(SEARCH("(blunt)",C9))),Edit_Values!$B$4,1))*Parameters!$B$7,2)</f>
        <v/>
      </c>
      <c r="F9" s="7" t="n">
        <v>2</v>
      </c>
      <c r="G9" s="7">
        <f>ROUND((D9*IF(AND(B9="stuff",ISNUMBER(SEARCH("(sharp)",C9))),Parameters!$B$2*Parameters!$B$3,IF(AND(B9="stuff",ISNUMBER(SEARCH("(blunt)",C9))),Parameters!$B$2*Parameters!$B$5,Parameters!$B$2)))/(F9*IF(AND(B9="stuff",OR(ISNUMBER(SEARCH("(sharp)",C9)),ISNUMBER(SEARCH("(heat)",C9)))),Parameters!$B$4,IF(AND(B9="stuff",ISNUMBER(SEARCH("(blunt)",C9))),Parameters!$B$6,1))),2)</f>
        <v/>
      </c>
    </row>
    <row r="10">
      <c r="A10" s="6" t="inlineStr">
        <is>
          <t>MeleeWeapon_Axe</t>
        </is>
      </c>
      <c r="B10" s="6" t="inlineStr">
        <is>
          <t>stuff</t>
        </is>
      </c>
      <c r="C10" s="6" t="inlineStr">
        <is>
          <t>Poke(blunt)</t>
        </is>
      </c>
      <c r="D10" s="7" t="n">
        <v>9</v>
      </c>
      <c r="E10" s="7">
        <f>ROUND(D10*Parameters!$B$2*IF(AND(B10="stuff",OR(ISNUMBER(SEARCH("(sharp)",C10)),ISNUMBER(SEARCH("(heat)",C10)))),Edit_Values!$B$2,IF(AND(B10="stuff",ISNUMBER(SEARCH("(blunt)",C10))),Edit_Values!$B$4,1))*Parameters!$B$7,2)</f>
        <v/>
      </c>
      <c r="F10" s="7" t="n">
        <v>2</v>
      </c>
      <c r="G10" s="7">
        <f>ROUND((D10*IF(AND(B10="stuff",ISNUMBER(SEARCH("(sharp)",C10))),Parameters!$B$2*Parameters!$B$3,IF(AND(B10="stuff",ISNUMBER(SEARCH("(blunt)",C10))),Parameters!$B$2*Parameters!$B$5,Parameters!$B$2)))/(F10*IF(AND(B10="stuff",OR(ISNUMBER(SEARCH("(sharp)",C10)),ISNUMBER(SEARCH("(heat)",C10)))),Parameters!$B$4,IF(AND(B10="stuff",ISNUMBER(SEARCH("(blunt)",C10))),Parameters!$B$6,1))),2)</f>
        <v/>
      </c>
    </row>
    <row r="11">
      <c r="A11" s="6" t="inlineStr">
        <is>
          <t>MeleeWeapon_Axe</t>
        </is>
      </c>
      <c r="B11" s="6" t="inlineStr">
        <is>
          <t>stuff</t>
        </is>
      </c>
      <c r="C11" s="6" t="inlineStr">
        <is>
          <t>Cut(sharp)</t>
        </is>
      </c>
      <c r="D11" s="7" t="n">
        <v>15</v>
      </c>
      <c r="E11" s="7">
        <f>ROUND(D11*Parameters!$B$2*IF(AND(B11="stuff",OR(ISNUMBER(SEARCH("(sharp)",C11)),ISNUMBER(SEARCH("(heat)",C11)))),Edit_Values!$B$2,IF(AND(B11="stuff",ISNUMBER(SEARCH("(blunt)",C11))),Edit_Values!$B$4,1))*Parameters!$B$7,2)</f>
        <v/>
      </c>
      <c r="F11" s="7" t="n">
        <v>2</v>
      </c>
      <c r="G11" s="7">
        <f>ROUND((D11*IF(AND(B11="stuff",ISNUMBER(SEARCH("(sharp)",C11))),Parameters!$B$2*Parameters!$B$3,IF(AND(B11="stuff",ISNUMBER(SEARCH("(blunt)",C11))),Parameters!$B$2*Parameters!$B$5,Parameters!$B$2)))/(F11*IF(AND(B11="stuff",OR(ISNUMBER(SEARCH("(sharp)",C11)),ISNUMBER(SEARCH("(heat)",C11)))),Parameters!$B$4,IF(AND(B11="stuff",ISNUMBER(SEARCH("(blunt)",C11))),Parameters!$B$6,1))),2)</f>
        <v/>
      </c>
    </row>
    <row r="12">
      <c r="A12" s="6" t="inlineStr">
        <is>
          <t>MeleeWeapon_Warhammer</t>
        </is>
      </c>
      <c r="B12" s="6" t="inlineStr">
        <is>
          <t>stuff</t>
        </is>
      </c>
      <c r="C12" s="6" t="inlineStr">
        <is>
          <t>Poke(blunt)</t>
        </is>
      </c>
      <c r="D12" s="7" t="n">
        <v>11</v>
      </c>
      <c r="E12" s="7">
        <f>ROUND(D12*Parameters!$B$2*IF(AND(B12="stuff",OR(ISNUMBER(SEARCH("(sharp)",C12)),ISNUMBER(SEARCH("(heat)",C12)))),Edit_Values!$B$2,IF(AND(B12="stuff",ISNUMBER(SEARCH("(blunt)",C12))),Edit_Values!$B$4,1))*Parameters!$B$7,2)</f>
        <v/>
      </c>
      <c r="F12" s="7" t="n">
        <v>2.6</v>
      </c>
      <c r="G12" s="7">
        <f>ROUND((D12*IF(AND(B12="stuff",ISNUMBER(SEARCH("(sharp)",C12))),Parameters!$B$2*Parameters!$B$3,IF(AND(B12="stuff",ISNUMBER(SEARCH("(blunt)",C12))),Parameters!$B$2*Parameters!$B$5,Parameters!$B$2)))/(F12*IF(AND(B12="stuff",OR(ISNUMBER(SEARCH("(sharp)",C12)),ISNUMBER(SEARCH("(heat)",C12)))),Parameters!$B$4,IF(AND(B12="stuff",ISNUMBER(SEARCH("(blunt)",C12))),Parameters!$B$6,1))),2)</f>
        <v/>
      </c>
    </row>
    <row r="13">
      <c r="A13" s="6" t="inlineStr">
        <is>
          <t>MeleeWeapon_Warhammer</t>
        </is>
      </c>
      <c r="B13" s="6" t="inlineStr">
        <is>
          <t>stuff</t>
        </is>
      </c>
      <c r="C13" s="6" t="inlineStr">
        <is>
          <t>Blunt(blunt)</t>
        </is>
      </c>
      <c r="D13" s="7" t="n">
        <v>20</v>
      </c>
      <c r="E13" s="7">
        <f>ROUND(D13*Parameters!$B$2*IF(AND(B13="stuff",OR(ISNUMBER(SEARCH("(sharp)",C13)),ISNUMBER(SEARCH("(heat)",C13)))),Edit_Values!$B$2,IF(AND(B13="stuff",ISNUMBER(SEARCH("(blunt)",C13))),Edit_Values!$B$4,1))*Parameters!$B$7,2)</f>
        <v/>
      </c>
      <c r="F13" s="7" t="n">
        <v>2.6</v>
      </c>
      <c r="G13" s="7">
        <f>ROUND((D13*IF(AND(B13="stuff",ISNUMBER(SEARCH("(sharp)",C13))),Parameters!$B$2*Parameters!$B$3,IF(AND(B13="stuff",ISNUMBER(SEARCH("(blunt)",C13))),Parameters!$B$2*Parameters!$B$5,Parameters!$B$2)))/(F13*IF(AND(B13="stuff",OR(ISNUMBER(SEARCH("(sharp)",C13)),ISNUMBER(SEARCH("(heat)",C13)))),Parameters!$B$4,IF(AND(B13="stuff",ISNUMBER(SEARCH("(blunt)",C13))),Parameters!$B$6,1))),2)</f>
        <v/>
      </c>
    </row>
    <row r="14">
      <c r="A14" s="6" t="inlineStr">
        <is>
          <t>MeleeWeapon_MonoSword</t>
        </is>
      </c>
      <c r="B14" s="6" t="inlineStr">
        <is>
          <t>생산 불가</t>
        </is>
      </c>
      <c r="C14" s="6" t="inlineStr">
        <is>
          <t>Blunt(blunt)</t>
        </is>
      </c>
      <c r="D14" s="7" t="n">
        <v>12</v>
      </c>
      <c r="E14" s="7">
        <f>ROUND(D14*Parameters!$B$2*IF(AND(B14="stuff",OR(ISNUMBER(SEARCH("(sharp)",C14)),ISNUMBER(SEARCH("(heat)",C14)))),Edit_Values!$B$2,IF(AND(B14="stuff",ISNUMBER(SEARCH("(blunt)",C14))),Edit_Values!$B$4,1))*Parameters!$B$7,2)</f>
        <v/>
      </c>
      <c r="F14" s="7" t="n">
        <v>1.6</v>
      </c>
      <c r="G14" s="7">
        <f>ROUND((D14*IF(AND(B14="stuff",ISNUMBER(SEARCH("(sharp)",C14))),Parameters!$B$2*Parameters!$B$3,IF(AND(B14="stuff",ISNUMBER(SEARCH("(blunt)",C14))),Parameters!$B$2*Parameters!$B$5,Parameters!$B$2)))/(F14*IF(AND(B14="stuff",OR(ISNUMBER(SEARCH("(sharp)",C14)),ISNUMBER(SEARCH("(heat)",C14)))),Parameters!$B$4,IF(AND(B14="stuff",ISNUMBER(SEARCH("(blunt)",C14))),Parameters!$B$6,1))),2)</f>
        <v/>
      </c>
    </row>
    <row r="15">
      <c r="A15" s="6" t="inlineStr">
        <is>
          <t>MeleeWeapon_MonoSword</t>
        </is>
      </c>
      <c r="B15" s="6" t="inlineStr">
        <is>
          <t>생산 불가</t>
        </is>
      </c>
      <c r="C15" s="6" t="inlineStr">
        <is>
          <t>Stab(sharp)</t>
        </is>
      </c>
      <c r="D15" s="7" t="n">
        <v>25</v>
      </c>
      <c r="E15" s="7" t="n">
        <v>1.48</v>
      </c>
      <c r="F15" s="7" t="n">
        <v>2</v>
      </c>
      <c r="G15" s="7">
        <f>ROUND((D15*IF(AND(B15="stuff",ISNUMBER(SEARCH("(sharp)",C15))),Parameters!$B$2*Parameters!$B$3,IF(AND(B15="stuff",ISNUMBER(SEARCH("(blunt)",C15))),Parameters!$B$2*Parameters!$B$5,Parameters!$B$2)))/(F15*IF(AND(B15="stuff",OR(ISNUMBER(SEARCH("(sharp)",C15)),ISNUMBER(SEARCH("(heat)",C15)))),Parameters!$B$4,IF(AND(B15="stuff",ISNUMBER(SEARCH("(blunt)",C15))),Parameters!$B$6,1))),2)</f>
        <v/>
      </c>
    </row>
    <row r="16">
      <c r="A16" s="6" t="inlineStr">
        <is>
          <t>MeleeWeapon_MonoSword</t>
        </is>
      </c>
      <c r="B16" s="6" t="inlineStr">
        <is>
          <t>생산 불가</t>
        </is>
      </c>
      <c r="C16" s="6" t="inlineStr">
        <is>
          <t>Cut(sharp)</t>
        </is>
      </c>
      <c r="D16" s="7" t="n">
        <v>25</v>
      </c>
      <c r="E16" s="7" t="n">
        <v>1.48</v>
      </c>
      <c r="F16" s="7" t="n">
        <v>2</v>
      </c>
      <c r="G16" s="7">
        <f>ROUND((D16*IF(AND(B16="stuff",ISNUMBER(SEARCH("(sharp)",C16))),Parameters!$B$2*Parameters!$B$3,IF(AND(B16="stuff",ISNUMBER(SEARCH("(blunt)",C16))),Parameters!$B$2*Parameters!$B$5,Parameters!$B$2)))/(F16*IF(AND(B16="stuff",OR(ISNUMBER(SEARCH("(sharp)",C16)),ISNUMBER(SEARCH("(heat)",C16)))),Parameters!$B$4,IF(AND(B16="stuff",ISNUMBER(SEARCH("(blunt)",C16))),Parameters!$B$6,1))),2)</f>
        <v/>
      </c>
    </row>
    <row r="17">
      <c r="A17" s="6" t="inlineStr">
        <is>
          <t>MeleeWeapon_Zeushammer</t>
        </is>
      </c>
      <c r="B17" s="6" t="inlineStr">
        <is>
          <t>생산 불가</t>
        </is>
      </c>
      <c r="C17" s="6" t="inlineStr">
        <is>
          <t>Poke(blunt)</t>
        </is>
      </c>
      <c r="D17" s="7" t="n">
        <v>15</v>
      </c>
      <c r="E17" s="7">
        <f>ROUND(D17*Parameters!$B$2*IF(AND(B17="stuff",OR(ISNUMBER(SEARCH("(sharp)",C17)),ISNUMBER(SEARCH("(heat)",C17)))),Edit_Values!$B$2,IF(AND(B17="stuff",ISNUMBER(SEARCH("(blunt)",C17))),Edit_Values!$B$4,1))*Parameters!$B$7,2)</f>
        <v/>
      </c>
      <c r="F17" s="7" t="n">
        <v>2</v>
      </c>
      <c r="G17" s="7">
        <f>ROUND((D17*IF(AND(B17="stuff",ISNUMBER(SEARCH("(sharp)",C17))),Parameters!$B$2*Parameters!$B$3,IF(AND(B17="stuff",ISNUMBER(SEARCH("(blunt)",C17))),Parameters!$B$2*Parameters!$B$5,Parameters!$B$2)))/(F17*IF(AND(B17="stuff",OR(ISNUMBER(SEARCH("(sharp)",C17)),ISNUMBER(SEARCH("(heat)",C17)))),Parameters!$B$4,IF(AND(B17="stuff",ISNUMBER(SEARCH("(blunt)",C17))),Parameters!$B$6,1))),2)</f>
        <v/>
      </c>
    </row>
    <row r="18">
      <c r="A18" s="6" t="inlineStr">
        <is>
          <t>MeleeWeapon_Zeushammer</t>
        </is>
      </c>
      <c r="B18" s="6" t="inlineStr">
        <is>
          <t>생산 불가</t>
        </is>
      </c>
      <c r="C18" s="6" t="inlineStr">
        <is>
          <t>Blunt(blunt)+EMP(sharp)</t>
        </is>
      </c>
      <c r="D18" s="7" t="n">
        <v>31</v>
      </c>
      <c r="E18" s="7">
        <f>ROUND(D18*Parameters!$B$2*IF(AND(B18="stuff",OR(ISNUMBER(SEARCH("(sharp)",C18)),ISNUMBER(SEARCH("(heat)",C18)))),Edit_Values!$B$2,IF(AND(B18="stuff",ISNUMBER(SEARCH("(blunt)",C18))),Edit_Values!$B$4,1))*Parameters!$B$7,2)</f>
        <v/>
      </c>
      <c r="F18" s="7" t="n">
        <v>3</v>
      </c>
      <c r="G18" s="7">
        <f>ROUND((D18*IF(AND(B18="stuff",ISNUMBER(SEARCH("(sharp)",C18))),Parameters!$B$2*Parameters!$B$3,IF(AND(B18="stuff",ISNUMBER(SEARCH("(blunt)",C18))),Parameters!$B$2*Parameters!$B$5,Parameters!$B$2)))/(F18*IF(AND(B18="stuff",OR(ISNUMBER(SEARCH("(sharp)",C18)),ISNUMBER(SEARCH("(heat)",C18)))),Parameters!$B$4,IF(AND(B18="stuff",ISNUMBER(SEARCH("(blunt)",C18))),Parameters!$B$6,1))),2)</f>
        <v/>
      </c>
    </row>
    <row r="19">
      <c r="A19" s="6" t="inlineStr">
        <is>
          <t>MeleeWeapon_PlasmaSword</t>
        </is>
      </c>
      <c r="B19" s="6" t="inlineStr">
        <is>
          <t>생산 불가</t>
        </is>
      </c>
      <c r="C19" s="6" t="inlineStr">
        <is>
          <t>Blunt(blunt)</t>
        </is>
      </c>
      <c r="D19" s="7" t="n">
        <v>12</v>
      </c>
      <c r="E19" s="7">
        <f>ROUND(D19*Parameters!$B$2*IF(AND(B19="stuff",OR(ISNUMBER(SEARCH("(sharp)",C19)),ISNUMBER(SEARCH("(heat)",C19)))),Edit_Values!$B$2,IF(AND(B19="stuff",ISNUMBER(SEARCH("(blunt)",C19))),Edit_Values!$B$4,1))*Parameters!$B$7,2)</f>
        <v/>
      </c>
      <c r="F19" s="7" t="n">
        <v>2</v>
      </c>
      <c r="G19" s="7">
        <f>ROUND((D19*IF(AND(B19="stuff",ISNUMBER(SEARCH("(sharp)",C19))),Parameters!$B$2*Parameters!$B$3,IF(AND(B19="stuff",ISNUMBER(SEARCH("(blunt)",C19))),Parameters!$B$2*Parameters!$B$5,Parameters!$B$2)))/(F19*IF(AND(B19="stuff",OR(ISNUMBER(SEARCH("(sharp)",C19)),ISNUMBER(SEARCH("(heat)",C19)))),Parameters!$B$4,IF(AND(B19="stuff",ISNUMBER(SEARCH("(blunt)",C19))),Parameters!$B$6,1))),2)</f>
        <v/>
      </c>
    </row>
    <row r="20">
      <c r="A20" s="6" t="inlineStr">
        <is>
          <t>MeleeWeapon_PlasmaSword</t>
        </is>
      </c>
      <c r="B20" s="6" t="inlineStr">
        <is>
          <t>생산 불가</t>
        </is>
      </c>
      <c r="C20" s="6" t="inlineStr">
        <is>
          <t>Stab(sharp)+Flame(heat)</t>
        </is>
      </c>
      <c r="D20" s="7" t="n">
        <v>21</v>
      </c>
      <c r="E20" s="7">
        <f>ROUND(D20*Parameters!$B$2*IF(AND(B20="stuff",OR(ISNUMBER(SEARCH("(sharp)",C20)),ISNUMBER(SEARCH("(heat)",C20)))),Edit_Values!$B$2,IF(AND(B20="stuff",ISNUMBER(SEARCH("(blunt)",C20))),Edit_Values!$B$4,1))*Parameters!$B$7,2)</f>
        <v/>
      </c>
      <c r="F20" s="7" t="n">
        <v>2.6</v>
      </c>
      <c r="G20" s="7">
        <f>ROUND((D20*IF(AND(B20="stuff",ISNUMBER(SEARCH("(sharp)",C20))),Parameters!$B$2*Parameters!$B$3,IF(AND(B20="stuff",ISNUMBER(SEARCH("(blunt)",C20))),Parameters!$B$2*Parameters!$B$5,Parameters!$B$2)))/(F20*IF(AND(B20="stuff",OR(ISNUMBER(SEARCH("(sharp)",C20)),ISNUMBER(SEARCH("(heat)",C20)))),Parameters!$B$4,IF(AND(B20="stuff",ISNUMBER(SEARCH("(blunt)",C20))),Parameters!$B$6,1))),2)</f>
        <v/>
      </c>
    </row>
    <row r="21">
      <c r="A21" s="6" t="inlineStr">
        <is>
          <t>MeleeWeapon_PlasmaSword</t>
        </is>
      </c>
      <c r="B21" s="6" t="inlineStr">
        <is>
          <t>생산 불가</t>
        </is>
      </c>
      <c r="C21" s="6" t="inlineStr">
        <is>
          <t>Cut(sharp)+Flame(heat)</t>
        </is>
      </c>
      <c r="D21" s="7" t="n">
        <v>21</v>
      </c>
      <c r="E21" s="7">
        <f>ROUND(D21*Parameters!$B$2*IF(AND(B21="stuff",OR(ISNUMBER(SEARCH("(sharp)",C21)),ISNUMBER(SEARCH("(heat)",C21)))),Edit_Values!$B$2,IF(AND(B21="stuff",ISNUMBER(SEARCH("(blunt)",C21))),Edit_Values!$B$4,1))*Parameters!$B$7,2)</f>
        <v/>
      </c>
      <c r="F21" s="7" t="n">
        <v>2.6</v>
      </c>
      <c r="G21" s="7">
        <f>ROUND((D21*IF(AND(B21="stuff",ISNUMBER(SEARCH("(sharp)",C21))),Parameters!$B$2*Parameters!$B$3,IF(AND(B21="stuff",ISNUMBER(SEARCH("(blunt)",C21))),Parameters!$B$2*Parameters!$B$5,Parameters!$B$2)))/(F21*IF(AND(B21="stuff",OR(ISNUMBER(SEARCH("(sharp)",C21)),ISNUMBER(SEARCH("(heat)",C21)))),Parameters!$B$4,IF(AND(B21="stuff",ISNUMBER(SEARCH("(blunt)",C21))),Parameters!$B$6,1))),2)</f>
        <v/>
      </c>
    </row>
    <row r="22">
      <c r="A22" s="6" t="inlineStr">
        <is>
          <t>MeleeWeapon_PsyfocusStaff</t>
        </is>
      </c>
      <c r="B22" s="6" t="inlineStr">
        <is>
          <t>생산 불가</t>
        </is>
      </c>
      <c r="C22" s="6" t="inlineStr">
        <is>
          <t>Blunt(blunt)</t>
        </is>
      </c>
      <c r="D22" s="7" t="n">
        <v>12</v>
      </c>
      <c r="E22" s="7">
        <f>ROUND(D22*Parameters!$B$2*IF(AND(B22="stuff",OR(ISNUMBER(SEARCH("(sharp)",C22)),ISNUMBER(SEARCH("(heat)",C22)))),Edit_Values!$B$2,IF(AND(B22="stuff",ISNUMBER(SEARCH("(blunt)",C22))),Edit_Values!$B$4,1))*Parameters!$B$7,2)</f>
        <v/>
      </c>
      <c r="F22" s="7" t="n">
        <v>2.6</v>
      </c>
      <c r="G22" s="7">
        <f>ROUND((D22*IF(AND(B22="stuff",ISNUMBER(SEARCH("(sharp)",C22))),Parameters!$B$2*Parameters!$B$3,IF(AND(B22="stuff",ISNUMBER(SEARCH("(blunt)",C22))),Parameters!$B$2*Parameters!$B$5,Parameters!$B$2)))/(F22*IF(AND(B22="stuff",OR(ISNUMBER(SEARCH("(sharp)",C22)),ISNUMBER(SEARCH("(heat)",C22)))),Parameters!$B$4,IF(AND(B22="stuff",ISNUMBER(SEARCH("(blunt)",C22))),Parameters!$B$6,1))),2)</f>
        <v/>
      </c>
    </row>
  </sheetData>
  <autoFilter ref="A1:G2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19" customWidth="1" min="1" max="1"/>
    <col width="8" customWidth="1" min="2" max="2"/>
    <col width="30" customWidth="1" min="3" max="3"/>
    <col width="8" customWidth="1" min="4" max="4"/>
    <col width="40" customWidth="1" min="5" max="5"/>
    <col width="11" customWidth="1" min="6" max="6"/>
    <col width="40" customWidth="1" min="7" max="7"/>
  </cols>
  <sheetData>
    <row r="1">
      <c r="A1" s="5" t="inlineStr">
        <is>
          <t>defName</t>
        </is>
      </c>
      <c r="B1" s="5" t="inlineStr">
        <is>
          <t>생산</t>
        </is>
      </c>
      <c r="C1" s="5" t="inlineStr">
        <is>
          <t>damageType</t>
        </is>
      </c>
      <c r="D1" s="5" t="inlineStr">
        <is>
          <t>power</t>
        </is>
      </c>
      <c r="E1" s="5" t="inlineStr">
        <is>
          <t>piercing</t>
        </is>
      </c>
      <c r="F1" s="5" t="inlineStr">
        <is>
          <t>cooldown</t>
        </is>
      </c>
      <c r="G1" s="5" t="inlineStr">
        <is>
          <t>DPS</t>
        </is>
      </c>
    </row>
    <row r="2">
      <c r="A2" s="6" t="inlineStr">
        <is>
          <t>MastodonTusk</t>
        </is>
      </c>
      <c r="B2" s="6" t="inlineStr">
        <is>
          <t>생산 불가</t>
        </is>
      </c>
      <c r="C2" s="6" t="inlineStr">
        <is>
          <t>Scratch(sharp); Stab(sharp)</t>
        </is>
      </c>
      <c r="D2" s="7" t="n">
        <v>20</v>
      </c>
      <c r="E2" s="7">
        <f>ROUND(D2*Parameters!$B$2*IF(AND(B2="stuff",OR(ISNUMBER(SEARCH("(sharp)",C2)),ISNUMBER(SEARCH("(heat)",C2)))),Edit_Values!$B$2,IF(AND(B2="stuff",ISNUMBER(SEARCH("(blunt)",C2))),Edit_Values!$B$4,1))*Parameters!$B$7,2)</f>
        <v/>
      </c>
      <c r="F2" s="7" t="n">
        <v>2.8</v>
      </c>
      <c r="G2" s="7">
        <f>ROUND((D2*IF(AND(B2="stuff",ISNUMBER(SEARCH("(sharp)",C2))),Parameters!$B$2*Parameters!$B$3,IF(AND(B2="stuff",ISNUMBER(SEARCH("(blunt)",C2))),Parameters!$B$2*Parameters!$B$5,Parameters!$B$2)))/(F2*IF(AND(B2="stuff",OR(ISNUMBER(SEARCH("(sharp)",C2)),ISNUMBER(SEARCH("(heat)",C2)))),Parameters!$B$4,IF(AND(B2="stuff",ISNUMBER(SEARCH("(blunt)",C2))),Parameters!$B$6,1))),2)</f>
        <v/>
      </c>
    </row>
    <row r="3">
      <c r="A3" s="6" t="inlineStr">
        <is>
          <t>MastodonTusk</t>
        </is>
      </c>
      <c r="B3" s="6" t="inlineStr">
        <is>
          <t>생산 불가</t>
        </is>
      </c>
      <c r="C3" s="6" t="inlineStr">
        <is>
          <t>Blunt(blunt)</t>
        </is>
      </c>
      <c r="D3" s="7" t="n">
        <v>10</v>
      </c>
      <c r="E3" s="7">
        <f>ROUND(D3*Parameters!$B$2*IF(AND(B3="stuff",OR(ISNUMBER(SEARCH("(sharp)",C3)),ISNUMBER(SEARCH("(heat)",C3)))),Edit_Values!$B$2,IF(AND(B3="stuff",ISNUMBER(SEARCH("(blunt)",C3))),Edit_Values!$B$4,1))*Parameters!$B$7,2)</f>
        <v/>
      </c>
      <c r="F3" s="7" t="n">
        <v>2.2</v>
      </c>
      <c r="G3" s="7">
        <f>ROUND((D3*IF(AND(B3="stuff",ISNUMBER(SEARCH("(sharp)",C3))),Parameters!$B$2*Parameters!$B$3,IF(AND(B3="stuff",ISNUMBER(SEARCH("(blunt)",C3))),Parameters!$B$2*Parameters!$B$5,Parameters!$B$2)))/(F3*IF(AND(B3="stuff",OR(ISNUMBER(SEARCH("(sharp)",C3)),ISNUMBER(SEARCH("(heat)",C3)))),Parameters!$B$4,IF(AND(B3="stuff",ISNUMBER(SEARCH("(blunt)",C3))),Parameters!$B$6,1))),2)</f>
        <v/>
      </c>
    </row>
    <row r="4">
      <c r="A4" s="6" t="inlineStr">
        <is>
          <t>AlphaThrumboHorn</t>
        </is>
      </c>
      <c r="B4" s="6" t="inlineStr">
        <is>
          <t>생산 불가</t>
        </is>
      </c>
      <c r="C4" s="6" t="inlineStr">
        <is>
          <t>Scratch(sharp); Stab(sharp)</t>
        </is>
      </c>
      <c r="D4" s="7" t="n">
        <v>32</v>
      </c>
      <c r="E4" s="7">
        <f>ROUND(D4*Parameters!$B$2*IF(AND(B4="stuff",OR(ISNUMBER(SEARCH("(sharp)",C4)),ISNUMBER(SEARCH("(heat)",C4)))),Edit_Values!$B$2,IF(AND(B4="stuff",ISNUMBER(SEARCH("(blunt)",C4))),Edit_Values!$B$4,1))*Parameters!$B$7,2)</f>
        <v/>
      </c>
      <c r="F4" s="7" t="n">
        <v>1.6</v>
      </c>
      <c r="G4" s="7">
        <f>ROUND((D4*IF(AND(B4="stuff",ISNUMBER(SEARCH("(sharp)",C4))),Parameters!$B$2*Parameters!$B$3,IF(AND(B4="stuff",ISNUMBER(SEARCH("(blunt)",C4))),Parameters!$B$2*Parameters!$B$5,Parameters!$B$2)))/(F4*IF(AND(B4="stuff",OR(ISNUMBER(SEARCH("(sharp)",C4)),ISNUMBER(SEARCH("(heat)",C4)))),Parameters!$B$4,IF(AND(B4="stuff",ISNUMBER(SEARCH("(blunt)",C4))),Parameters!$B$6,1))),2)</f>
        <v/>
      </c>
    </row>
    <row r="5">
      <c r="A5" s="6" t="inlineStr">
        <is>
          <t>AlphaThrumboHorn</t>
        </is>
      </c>
      <c r="B5" s="6" t="inlineStr">
        <is>
          <t>생산 불가</t>
        </is>
      </c>
      <c r="C5" s="6" t="inlineStr">
        <is>
          <t>Blunt(blunt)</t>
        </is>
      </c>
      <c r="D5" s="7" t="n">
        <v>9</v>
      </c>
      <c r="E5" s="7">
        <f>ROUND(D5*Parameters!$B$2*IF(AND(B5="stuff",OR(ISNUMBER(SEARCH("(sharp)",C5)),ISNUMBER(SEARCH("(heat)",C5)))),Edit_Values!$B$2,IF(AND(B5="stuff",ISNUMBER(SEARCH("(blunt)",C5))),Edit_Values!$B$4,1))*Parameters!$B$7,2)</f>
        <v/>
      </c>
      <c r="F5" s="7" t="n">
        <v>1.4</v>
      </c>
      <c r="G5" s="7">
        <f>ROUND((D5*IF(AND(B5="stuff",ISNUMBER(SEARCH("(sharp)",C5))),Parameters!$B$2*Parameters!$B$3,IF(AND(B5="stuff",ISNUMBER(SEARCH("(blunt)",C5))),Parameters!$B$2*Parameters!$B$5,Parameters!$B$2)))/(F5*IF(AND(B5="stuff",OR(ISNUMBER(SEARCH("(sharp)",C5)),ISNUMBER(SEARCH("(heat)",C5)))),Parameters!$B$4,IF(AND(B5="stuff",ISNUMBER(SEARCH("(blunt)",C5))),Parameters!$B$6,1))),2)</f>
        <v/>
      </c>
    </row>
  </sheetData>
  <autoFilter ref="A1:G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2026-03-12T21:00:47Z</dcterms:created>
  <dcterms:modified xsi:type="dcterms:W3CDTF">2026-03-12T21:00:47Z</dcterms:modified>
</cp:coreProperties>
</file>