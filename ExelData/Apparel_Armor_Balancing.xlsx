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mworld" sheetId="1" state="visible" r:id="rId1"/>
    <sheet name="Ratkin" sheetId="2" state="visible" r:id="rId2"/>
    <sheet name="Core" sheetId="3" state="visible" r:id="rId3"/>
    <sheet name="Royalty" sheetId="4" state="visible" r:id="rId4"/>
    <sheet name="Ideology" sheetId="5" state="visible" r:id="rId5"/>
    <sheet name="Biotech" sheetId="6" state="visible" r:id="rId6"/>
    <sheet name="Anomaly" sheetId="7" state="visible" r:id="rId7"/>
    <sheet name="Odyssey" sheetId="8" state="visible" r:id="rId8"/>
    <sheet name="Face" sheetId="9" state="visible" r:id="rId9"/>
    <sheet name="Constants" sheetId="10" state="visible" r:id="rId10"/>
  </sheets>
  <definedNames>
    <definedName name="_xlnm._FilterDatabase" localSheetId="0" hidden="1">'Rimworld'!$A$1:$M$73</definedName>
    <definedName name="_xlnm._FilterDatabase" localSheetId="1" hidden="1">'Ratkin'!$A$1:$M$41</definedName>
    <definedName name="_xlnm._FilterDatabase" localSheetId="2" hidden="1">'Core'!$A$1:$M$25</definedName>
    <definedName name="_xlnm._FilterDatabase" localSheetId="3" hidden="1">'Royalty'!$A$1:$M$24</definedName>
    <definedName name="_xlnm._FilterDatabase" localSheetId="4" hidden="1">'Ideology'!$A$1:$M$10</definedName>
    <definedName name="_xlnm._FilterDatabase" localSheetId="5" hidden="1">'Biotech'!$A$1:$M$14</definedName>
    <definedName name="_xlnm._FilterDatabase" localSheetId="6" hidden="1">'Anomaly'!$A$1:$M$2</definedName>
    <definedName name="_xlnm._FilterDatabase" localSheetId="7" hidden="1">'Odyssey'!$A$1:$M$3</definedName>
    <definedName name="_xlnm._FilterDatabase" localSheetId="8" hidden="1">'Face'!$A$1:$M$29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Apparel_CowboyHat</t>
        </is>
      </c>
      <c r="B2" s="2" t="inlineStr">
        <is>
          <t>Fabric,Leathery</t>
        </is>
      </c>
      <c r="C2" s="2" t="inlineStr">
        <is>
          <t>Leathery</t>
        </is>
      </c>
      <c r="D2" s="3" t="n">
        <v>0.2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Apparel_BowlerHat</t>
        </is>
      </c>
      <c r="B3" s="2" t="inlineStr">
        <is>
          <t>Fabric,Leathery</t>
        </is>
      </c>
      <c r="C3" s="2" t="inlineStr">
        <is>
          <t>Leathery</t>
        </is>
      </c>
      <c r="D3" s="3" t="n">
        <v>0.2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Apparel_TribalHeaddress</t>
        </is>
      </c>
      <c r="B4" s="2" t="inlineStr">
        <is>
          <t>Fabric</t>
        </is>
      </c>
      <c r="C4" s="2" t="inlineStr">
        <is>
          <t>Leathery</t>
        </is>
      </c>
      <c r="D4" s="3" t="n">
        <v>0.2</v>
      </c>
      <c r="E4" s="3" t="n">
        <v>0</v>
      </c>
      <c r="F4" s="3" t="n">
        <v>0</v>
      </c>
      <c r="G4" s="3" t="n">
        <v>0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Apparel_Tuque</t>
        </is>
      </c>
      <c r="B5" s="2" t="inlineStr">
        <is>
          <t>Fabric</t>
        </is>
      </c>
      <c r="C5" s="2" t="inlineStr">
        <is>
          <t>Leathery</t>
        </is>
      </c>
      <c r="D5" s="3" t="n">
        <v>0.2</v>
      </c>
      <c r="E5" s="3" t="n">
        <v>0</v>
      </c>
      <c r="F5" s="3" t="n">
        <v>0</v>
      </c>
      <c r="G5" s="3" t="n">
        <v>0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Apparel_SimpleHelmet</t>
        </is>
      </c>
      <c r="B6" s="2" t="inlineStr">
        <is>
          <t>Metallic</t>
        </is>
      </c>
      <c r="C6" s="2" t="inlineStr">
        <is>
          <t>Metallic</t>
        </is>
      </c>
      <c r="D6" s="3" t="n">
        <v>0.5</v>
      </c>
      <c r="E6" s="3" t="n">
        <v>0</v>
      </c>
      <c r="F6" s="3" t="n">
        <v>0</v>
      </c>
      <c r="G6" s="3" t="n">
        <v>0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Apparel_AdvancedHelmet</t>
        </is>
      </c>
      <c r="B7" s="2" t="inlineStr">
        <is>
          <t>Metallic</t>
        </is>
      </c>
      <c r="C7" s="2" t="inlineStr">
        <is>
          <t>Metallic</t>
        </is>
      </c>
      <c r="D7" s="3" t="n">
        <v>0.7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Apparel_PsychicFoilHelmet</t>
        </is>
      </c>
      <c r="B8" s="2" t="inlineStr">
        <is>
          <t>Fixed</t>
        </is>
      </c>
      <c r="C8" s="2" t="inlineStr">
        <is>
          <t>Fixed</t>
        </is>
      </c>
      <c r="D8" s="3" t="n">
        <v>0</v>
      </c>
      <c r="E8" s="3" t="n">
        <v>0.09</v>
      </c>
      <c r="F8" s="3" t="n">
        <v>0.09</v>
      </c>
      <c r="G8" s="3" t="n">
        <v>0.27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Apparel_HatHood</t>
        </is>
      </c>
      <c r="B9" s="2" t="inlineStr">
        <is>
          <t>Fabric,Leathery</t>
        </is>
      </c>
      <c r="C9" s="2" t="inlineStr">
        <is>
          <t>Leathery</t>
        </is>
      </c>
      <c r="D9" s="3" t="n">
        <v>0.2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Apparel_ClothMask</t>
        </is>
      </c>
      <c r="B10" s="2" t="inlineStr">
        <is>
          <t>Fabric</t>
        </is>
      </c>
      <c r="C10" s="2" t="inlineStr">
        <is>
          <t>Leathery</t>
        </is>
      </c>
      <c r="D10" s="3" t="n">
        <v>0.2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Apparel_TribalA</t>
        </is>
      </c>
      <c r="B11" s="2" t="inlineStr">
        <is>
          <t>Fabric,Leathery</t>
        </is>
      </c>
      <c r="C11" s="2" t="inlineStr">
        <is>
          <t>Leathery</t>
        </is>
      </c>
      <c r="D11" s="3" t="n">
        <v>0.2</v>
      </c>
      <c r="E11" s="3" t="n">
        <v>0</v>
      </c>
      <c r="F11" s="3" t="n">
        <v>0</v>
      </c>
      <c r="G11" s="3" t="n">
        <v>0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Apparel_Parka</t>
        </is>
      </c>
      <c r="B12" s="2" t="inlineStr">
        <is>
          <t>Fabric,Leathery</t>
        </is>
      </c>
      <c r="C12" s="2" t="inlineStr">
        <is>
          <t>Leathery</t>
        </is>
      </c>
      <c r="D12" s="3" t="n">
        <v>0.2</v>
      </c>
      <c r="E12" s="3" t="n">
        <v>0</v>
      </c>
      <c r="F12" s="3" t="n">
        <v>0</v>
      </c>
      <c r="G12" s="3" t="n">
        <v>0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Apparel_Pants</t>
        </is>
      </c>
      <c r="B13" s="2" t="inlineStr">
        <is>
          <t>Fabric,Leathery</t>
        </is>
      </c>
      <c r="C13" s="2" t="inlineStr">
        <is>
          <t>Leathery</t>
        </is>
      </c>
      <c r="D13" s="3" t="n">
        <v>0.2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Apparel_BasicShirt</t>
        </is>
      </c>
      <c r="B14" s="2" t="inlineStr">
        <is>
          <t>Fabric,Leathery</t>
        </is>
      </c>
      <c r="C14" s="2" t="inlineStr">
        <is>
          <t>Leathery</t>
        </is>
      </c>
      <c r="D14" s="3" t="n">
        <v>0.2</v>
      </c>
      <c r="E14" s="3" t="n">
        <v>0</v>
      </c>
      <c r="F14" s="3" t="n">
        <v>0</v>
      </c>
      <c r="G14" s="3" t="n">
        <v>0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  <row r="15">
      <c r="A15" s="2" t="inlineStr">
        <is>
          <t>Apparel_CollarShirt</t>
        </is>
      </c>
      <c r="B15" s="2" t="inlineStr">
        <is>
          <t>Fabric,Leathery</t>
        </is>
      </c>
      <c r="C15" s="2" t="inlineStr">
        <is>
          <t>Leathery</t>
        </is>
      </c>
      <c r="D15" s="3" t="n">
        <v>0.2</v>
      </c>
      <c r="E15" s="3" t="n">
        <v>0</v>
      </c>
      <c r="F15" s="3" t="n">
        <v>0</v>
      </c>
      <c r="G15" s="3" t="n">
        <v>0</v>
      </c>
      <c r="H15" s="3">
        <f>ROUND((E15+D15*VLOOKUP(C15,Constants!$A$6:$G$11,2,0))*Constants!$B$2,2)</f>
        <v/>
      </c>
      <c r="I15" s="3">
        <f>ROUND((F15+D15*VLOOKUP(C15,Constants!$A$6:$G$11,3,0))*Constants!$B$2,2)</f>
        <v/>
      </c>
      <c r="J15" s="3">
        <f>ROUND((G15+D15*VLOOKUP(C15,Constants!$A$6:$G$11,4,0))*Constants!$B$2,2)</f>
        <v/>
      </c>
      <c r="K15" s="3">
        <f>ROUND((E15+D15*VLOOKUP(C15,Constants!$A$6:$G$11,5,0))*Constants!$B$1,2)</f>
        <v/>
      </c>
      <c r="L15" s="3">
        <f>ROUND((F15+D15*VLOOKUP(C15,Constants!$A$6:$G$11,6,0))*Constants!$B$1,2)</f>
        <v/>
      </c>
      <c r="M15" s="3">
        <f>ROUND((G15+D15*VLOOKUP(C15,Constants!$A$6:$G$11,7,0))*Constants!$B$1,2)</f>
        <v/>
      </c>
    </row>
    <row r="16">
      <c r="A16" s="2" t="inlineStr">
        <is>
          <t>Apparel_Duster</t>
        </is>
      </c>
      <c r="B16" s="2" t="inlineStr">
        <is>
          <t>Fabric,Leathery</t>
        </is>
      </c>
      <c r="C16" s="2" t="inlineStr">
        <is>
          <t>Leathery</t>
        </is>
      </c>
      <c r="D16" s="3" t="n">
        <v>0.3</v>
      </c>
      <c r="E16" s="3" t="n">
        <v>0</v>
      </c>
      <c r="F16" s="3" t="n">
        <v>0</v>
      </c>
      <c r="G16" s="3" t="n">
        <v>0</v>
      </c>
      <c r="H16" s="3">
        <f>ROUND((E16+D16*VLOOKUP(C16,Constants!$A$6:$G$11,2,0))*Constants!$B$2,2)</f>
        <v/>
      </c>
      <c r="I16" s="3">
        <f>ROUND((F16+D16*VLOOKUP(C16,Constants!$A$6:$G$11,3,0))*Constants!$B$2,2)</f>
        <v/>
      </c>
      <c r="J16" s="3">
        <f>ROUND((G16+D16*VLOOKUP(C16,Constants!$A$6:$G$11,4,0))*Constants!$B$2,2)</f>
        <v/>
      </c>
      <c r="K16" s="3">
        <f>ROUND((E16+D16*VLOOKUP(C16,Constants!$A$6:$G$11,5,0))*Constants!$B$1,2)</f>
        <v/>
      </c>
      <c r="L16" s="3">
        <f>ROUND((F16+D16*VLOOKUP(C16,Constants!$A$6:$G$11,6,0))*Constants!$B$1,2)</f>
        <v/>
      </c>
      <c r="M16" s="3">
        <f>ROUND((G16+D16*VLOOKUP(C16,Constants!$A$6:$G$11,7,0))*Constants!$B$1,2)</f>
        <v/>
      </c>
    </row>
    <row r="17">
      <c r="A17" s="2" t="inlineStr">
        <is>
          <t>Apparel_Jacket</t>
        </is>
      </c>
      <c r="B17" s="2" t="inlineStr">
        <is>
          <t>Fabric,Leathery</t>
        </is>
      </c>
      <c r="C17" s="2" t="inlineStr">
        <is>
          <t>Leathery</t>
        </is>
      </c>
      <c r="D17" s="3" t="n">
        <v>0.3</v>
      </c>
      <c r="E17" s="3" t="n">
        <v>0</v>
      </c>
      <c r="F17" s="3" t="n">
        <v>0</v>
      </c>
      <c r="G17" s="3" t="n">
        <v>0</v>
      </c>
      <c r="H17" s="3">
        <f>ROUND((E17+D17*VLOOKUP(C17,Constants!$A$6:$G$11,2,0))*Constants!$B$2,2)</f>
        <v/>
      </c>
      <c r="I17" s="3">
        <f>ROUND((F17+D17*VLOOKUP(C17,Constants!$A$6:$G$11,3,0))*Constants!$B$2,2)</f>
        <v/>
      </c>
      <c r="J17" s="3">
        <f>ROUND((G17+D17*VLOOKUP(C17,Constants!$A$6:$G$11,4,0))*Constants!$B$2,2)</f>
        <v/>
      </c>
      <c r="K17" s="3">
        <f>ROUND((E17+D17*VLOOKUP(C17,Constants!$A$6:$G$11,5,0))*Constants!$B$1,2)</f>
        <v/>
      </c>
      <c r="L17" s="3">
        <f>ROUND((F17+D17*VLOOKUP(C17,Constants!$A$6:$G$11,6,0))*Constants!$B$1,2)</f>
        <v/>
      </c>
      <c r="M17" s="3">
        <f>ROUND((G17+D17*VLOOKUP(C17,Constants!$A$6:$G$11,7,0))*Constants!$B$1,2)</f>
        <v/>
      </c>
    </row>
    <row r="18">
      <c r="A18" s="2" t="inlineStr">
        <is>
          <t>Apparel_PlateArmor</t>
        </is>
      </c>
      <c r="B18" s="2" t="inlineStr">
        <is>
          <t>Metallic,Woody</t>
        </is>
      </c>
      <c r="C18" s="2" t="inlineStr">
        <is>
          <t>Metallic</t>
        </is>
      </c>
      <c r="D18" s="3" t="n">
        <v>0.9</v>
      </c>
      <c r="E18" s="3" t="n">
        <v>0</v>
      </c>
      <c r="F18" s="3" t="n">
        <v>0</v>
      </c>
      <c r="G18" s="3" t="n">
        <v>0</v>
      </c>
      <c r="H18" s="3">
        <f>ROUND((E18+D18*VLOOKUP(C18,Constants!$A$6:$G$11,2,0))*Constants!$B$2,2)</f>
        <v/>
      </c>
      <c r="I18" s="3">
        <f>ROUND((F18+D18*VLOOKUP(C18,Constants!$A$6:$G$11,3,0))*Constants!$B$2,2)</f>
        <v/>
      </c>
      <c r="J18" s="3">
        <f>ROUND((G18+D18*VLOOKUP(C18,Constants!$A$6:$G$11,4,0))*Constants!$B$2,2)</f>
        <v/>
      </c>
      <c r="K18" s="3">
        <f>ROUND((E18+D18*VLOOKUP(C18,Constants!$A$6:$G$11,5,0))*Constants!$B$1,2)</f>
        <v/>
      </c>
      <c r="L18" s="3">
        <f>ROUND((F18+D18*VLOOKUP(C18,Constants!$A$6:$G$11,6,0))*Constants!$B$1,2)</f>
        <v/>
      </c>
      <c r="M18" s="3">
        <f>ROUND((G18+D18*VLOOKUP(C18,Constants!$A$6:$G$11,7,0))*Constants!$B$1,2)</f>
        <v/>
      </c>
    </row>
    <row r="19">
      <c r="A19" s="2" t="inlineStr">
        <is>
          <t>Apparel_FlakVest</t>
        </is>
      </c>
      <c r="B19" s="2" t="inlineStr">
        <is>
          <t>Fixed</t>
        </is>
      </c>
      <c r="C19" s="2" t="inlineStr">
        <is>
          <t>Fixed</t>
        </is>
      </c>
      <c r="D19" s="3" t="n">
        <v>0</v>
      </c>
      <c r="E19" s="3" t="n">
        <v>1</v>
      </c>
      <c r="F19" s="3" t="n">
        <v>0.36</v>
      </c>
      <c r="G19" s="3" t="n">
        <v>0.27</v>
      </c>
      <c r="H19" s="3">
        <f>ROUND((E19+D19*VLOOKUP(C19,Constants!$A$6:$G$11,2,0))*Constants!$B$2,2)</f>
        <v/>
      </c>
      <c r="I19" s="3">
        <f>ROUND((F19+D19*VLOOKUP(C19,Constants!$A$6:$G$11,3,0))*Constants!$B$2,2)</f>
        <v/>
      </c>
      <c r="J19" s="3">
        <f>ROUND((G19+D19*VLOOKUP(C19,Constants!$A$6:$G$11,4,0))*Constants!$B$2,2)</f>
        <v/>
      </c>
      <c r="K19" s="3">
        <f>ROUND((E19+D19*VLOOKUP(C19,Constants!$A$6:$G$11,5,0))*Constants!$B$1,2)</f>
        <v/>
      </c>
      <c r="L19" s="3">
        <f>ROUND((F19+D19*VLOOKUP(C19,Constants!$A$6:$G$11,6,0))*Constants!$B$1,2)</f>
        <v/>
      </c>
      <c r="M19" s="3">
        <f>ROUND((G19+D19*VLOOKUP(C19,Constants!$A$6:$G$11,7,0))*Constants!$B$1,2)</f>
        <v/>
      </c>
    </row>
    <row r="20">
      <c r="A20" s="2" t="inlineStr">
        <is>
          <t>Apparel_FlakPants</t>
        </is>
      </c>
      <c r="B20" s="2" t="inlineStr">
        <is>
          <t>Fixed</t>
        </is>
      </c>
      <c r="C20" s="2" t="inlineStr">
        <is>
          <t>Fixed</t>
        </is>
      </c>
      <c r="D20" s="3" t="n">
        <v>0</v>
      </c>
      <c r="E20" s="3" t="n">
        <v>0.55</v>
      </c>
      <c r="F20" s="3" t="n">
        <v>0.08</v>
      </c>
      <c r="G20" s="3" t="n">
        <v>0.1</v>
      </c>
      <c r="H20" s="3">
        <f>ROUND((E20+D20*VLOOKUP(C20,Constants!$A$6:$G$11,2,0))*Constants!$B$2,2)</f>
        <v/>
      </c>
      <c r="I20" s="3">
        <f>ROUND((F20+D20*VLOOKUP(C20,Constants!$A$6:$G$11,3,0))*Constants!$B$2,2)</f>
        <v/>
      </c>
      <c r="J20" s="3">
        <f>ROUND((G20+D20*VLOOKUP(C20,Constants!$A$6:$G$11,4,0))*Constants!$B$2,2)</f>
        <v/>
      </c>
      <c r="K20" s="3">
        <f>ROUND((E20+D20*VLOOKUP(C20,Constants!$A$6:$G$11,5,0))*Constants!$B$1,2)</f>
        <v/>
      </c>
      <c r="L20" s="3">
        <f>ROUND((F20+D20*VLOOKUP(C20,Constants!$A$6:$G$11,6,0))*Constants!$B$1,2)</f>
        <v/>
      </c>
      <c r="M20" s="3">
        <f>ROUND((G20+D20*VLOOKUP(C20,Constants!$A$6:$G$11,7,0))*Constants!$B$1,2)</f>
        <v/>
      </c>
    </row>
    <row r="21">
      <c r="A21" s="2" t="inlineStr">
        <is>
          <t>Apparel_FlakJacket</t>
        </is>
      </c>
      <c r="B21" s="2" t="inlineStr">
        <is>
          <t>Fixed</t>
        </is>
      </c>
      <c r="C21" s="2" t="inlineStr">
        <is>
          <t>Fixed</t>
        </is>
      </c>
      <c r="D21" s="3" t="n">
        <v>0</v>
      </c>
      <c r="E21" s="3" t="n">
        <v>0.55</v>
      </c>
      <c r="F21" s="3" t="n">
        <v>0.08</v>
      </c>
      <c r="G21" s="3" t="n">
        <v>0.1</v>
      </c>
      <c r="H21" s="3">
        <f>ROUND((E21+D21*VLOOKUP(C21,Constants!$A$6:$G$11,2,0))*Constants!$B$2,2)</f>
        <v/>
      </c>
      <c r="I21" s="3">
        <f>ROUND((F21+D21*VLOOKUP(C21,Constants!$A$6:$G$11,3,0))*Constants!$B$2,2)</f>
        <v/>
      </c>
      <c r="J21" s="3">
        <f>ROUND((G21+D21*VLOOKUP(C21,Constants!$A$6:$G$11,4,0))*Constants!$B$2,2)</f>
        <v/>
      </c>
      <c r="K21" s="3">
        <f>ROUND((E21+D21*VLOOKUP(C21,Constants!$A$6:$G$11,5,0))*Constants!$B$1,2)</f>
        <v/>
      </c>
      <c r="L21" s="3">
        <f>ROUND((F21+D21*VLOOKUP(C21,Constants!$A$6:$G$11,6,0))*Constants!$B$1,2)</f>
        <v/>
      </c>
      <c r="M21" s="3">
        <f>ROUND((G21+D21*VLOOKUP(C21,Constants!$A$6:$G$11,7,0))*Constants!$B$1,2)</f>
        <v/>
      </c>
    </row>
    <row r="22">
      <c r="A22" s="2" t="inlineStr">
        <is>
          <t>Apparel_PowerArmor</t>
        </is>
      </c>
      <c r="B22" s="2" t="inlineStr">
        <is>
          <t>Fixed</t>
        </is>
      </c>
      <c r="C22" s="2" t="inlineStr">
        <is>
          <t>Fixed</t>
        </is>
      </c>
      <c r="D22" s="3" t="n">
        <v>0</v>
      </c>
      <c r="E22" s="3" t="n">
        <v>1.06</v>
      </c>
      <c r="F22" s="3" t="n">
        <v>0.45</v>
      </c>
      <c r="G22" s="3" t="n">
        <v>0.54</v>
      </c>
      <c r="H22" s="3">
        <f>ROUND((E22+D22*VLOOKUP(C22,Constants!$A$6:$G$11,2,0))*Constants!$B$2,2)</f>
        <v/>
      </c>
      <c r="I22" s="3">
        <f>ROUND((F22+D22*VLOOKUP(C22,Constants!$A$6:$G$11,3,0))*Constants!$B$2,2)</f>
        <v/>
      </c>
      <c r="J22" s="3">
        <f>ROUND((G22+D22*VLOOKUP(C22,Constants!$A$6:$G$11,4,0))*Constants!$B$2,2)</f>
        <v/>
      </c>
      <c r="K22" s="3">
        <f>ROUND((E22+D22*VLOOKUP(C22,Constants!$A$6:$G$11,5,0))*Constants!$B$1,2)</f>
        <v/>
      </c>
      <c r="L22" s="3">
        <f>ROUND((F22+D22*VLOOKUP(C22,Constants!$A$6:$G$11,6,0))*Constants!$B$1,2)</f>
        <v/>
      </c>
      <c r="M22" s="3">
        <f>ROUND((G22+D22*VLOOKUP(C22,Constants!$A$6:$G$11,7,0))*Constants!$B$1,2)</f>
        <v/>
      </c>
    </row>
    <row r="23">
      <c r="A23" s="2" t="inlineStr">
        <is>
          <t>Apparel_ArmorRecon</t>
        </is>
      </c>
      <c r="B23" s="2" t="inlineStr">
        <is>
          <t>Fixed</t>
        </is>
      </c>
      <c r="C23" s="2" t="inlineStr">
        <is>
          <t>Fixed</t>
        </is>
      </c>
      <c r="D23" s="3" t="n">
        <v>0</v>
      </c>
      <c r="E23" s="3" t="n">
        <v>0.92</v>
      </c>
      <c r="F23" s="3" t="n">
        <v>0.4</v>
      </c>
      <c r="G23" s="3" t="n">
        <v>0.46</v>
      </c>
      <c r="H23" s="3">
        <f>ROUND((E23+D23*VLOOKUP(C23,Constants!$A$6:$G$11,2,0))*Constants!$B$2,2)</f>
        <v/>
      </c>
      <c r="I23" s="3">
        <f>ROUND((F23+D23*VLOOKUP(C23,Constants!$A$6:$G$11,3,0))*Constants!$B$2,2)</f>
        <v/>
      </c>
      <c r="J23" s="3">
        <f>ROUND((G23+D23*VLOOKUP(C23,Constants!$A$6:$G$11,4,0))*Constants!$B$2,2)</f>
        <v/>
      </c>
      <c r="K23" s="3">
        <f>ROUND((E23+D23*VLOOKUP(C23,Constants!$A$6:$G$11,5,0))*Constants!$B$1,2)</f>
        <v/>
      </c>
      <c r="L23" s="3">
        <f>ROUND((F23+D23*VLOOKUP(C23,Constants!$A$6:$G$11,6,0))*Constants!$B$1,2)</f>
        <v/>
      </c>
      <c r="M23" s="3">
        <f>ROUND((G23+D23*VLOOKUP(C23,Constants!$A$6:$G$11,7,0))*Constants!$B$1,2)</f>
        <v/>
      </c>
    </row>
    <row r="24">
      <c r="A24" s="2" t="inlineStr">
        <is>
          <t>Apparel_Cape</t>
        </is>
      </c>
      <c r="B24" s="2" t="inlineStr">
        <is>
          <t>Fabric,Leathery</t>
        </is>
      </c>
      <c r="C24" s="2" t="inlineStr">
        <is>
          <t>Leathery</t>
        </is>
      </c>
      <c r="D24" s="3" t="n">
        <v>0.3</v>
      </c>
      <c r="E24" s="3" t="n">
        <v>0</v>
      </c>
      <c r="F24" s="3" t="n">
        <v>0</v>
      </c>
      <c r="G24" s="3" t="n">
        <v>0</v>
      </c>
      <c r="H24" s="3">
        <f>ROUND((E24+D24*VLOOKUP(C24,Constants!$A$6:$G$11,2,0))*Constants!$B$2,2)</f>
        <v/>
      </c>
      <c r="I24" s="3">
        <f>ROUND((F24+D24*VLOOKUP(C24,Constants!$A$6:$G$11,3,0))*Constants!$B$2,2)</f>
        <v/>
      </c>
      <c r="J24" s="3">
        <f>ROUND((G24+D24*VLOOKUP(C24,Constants!$A$6:$G$11,4,0))*Constants!$B$2,2)</f>
        <v/>
      </c>
      <c r="K24" s="3">
        <f>ROUND((E24+D24*VLOOKUP(C24,Constants!$A$6:$G$11,5,0))*Constants!$B$1,2)</f>
        <v/>
      </c>
      <c r="L24" s="3">
        <f>ROUND((F24+D24*VLOOKUP(C24,Constants!$A$6:$G$11,6,0))*Constants!$B$1,2)</f>
        <v/>
      </c>
      <c r="M24" s="3">
        <f>ROUND((G24+D24*VLOOKUP(C24,Constants!$A$6:$G$11,7,0))*Constants!$B$1,2)</f>
        <v/>
      </c>
    </row>
    <row r="25">
      <c r="A25" s="2" t="inlineStr">
        <is>
          <t>Apparel_Robe</t>
        </is>
      </c>
      <c r="B25" s="2" t="inlineStr">
        <is>
          <t>Fabric,Leathery</t>
        </is>
      </c>
      <c r="C25" s="2" t="inlineStr">
        <is>
          <t>Leathery</t>
        </is>
      </c>
      <c r="D25" s="3" t="n">
        <v>0.2</v>
      </c>
      <c r="E25" s="3" t="n">
        <v>0</v>
      </c>
      <c r="F25" s="3" t="n">
        <v>0</v>
      </c>
      <c r="G25" s="3" t="n">
        <v>0</v>
      </c>
      <c r="H25" s="3">
        <f>ROUND((E25+D25*VLOOKUP(C25,Constants!$A$6:$G$11,2,0))*Constants!$B$2,2)</f>
        <v/>
      </c>
      <c r="I25" s="3">
        <f>ROUND((F25+D25*VLOOKUP(C25,Constants!$A$6:$G$11,3,0))*Constants!$B$2,2)</f>
        <v/>
      </c>
      <c r="J25" s="3">
        <f>ROUND((G25+D25*VLOOKUP(C25,Constants!$A$6:$G$11,4,0))*Constants!$B$2,2)</f>
        <v/>
      </c>
      <c r="K25" s="3">
        <f>ROUND((E25+D25*VLOOKUP(C25,Constants!$A$6:$G$11,5,0))*Constants!$B$1,2)</f>
        <v/>
      </c>
      <c r="L25" s="3">
        <f>ROUND((F25+D25*VLOOKUP(C25,Constants!$A$6:$G$11,6,0))*Constants!$B$1,2)</f>
        <v/>
      </c>
      <c r="M25" s="3">
        <f>ROUND((G25+D25*VLOOKUP(C25,Constants!$A$6:$G$11,7,0))*Constants!$B$1,2)</f>
        <v/>
      </c>
    </row>
    <row r="26">
      <c r="A26" s="2" t="inlineStr">
        <is>
          <t>Apparel_PsyfocusHelmet</t>
        </is>
      </c>
      <c r="B26" s="2" t="inlineStr">
        <is>
          <t>Fixed</t>
        </is>
      </c>
      <c r="C26" s="2" t="inlineStr">
        <is>
          <t>Fixed</t>
        </is>
      </c>
      <c r="D26" s="3" t="n">
        <v>0</v>
      </c>
      <c r="E26" s="3" t="n">
        <v>0.09</v>
      </c>
      <c r="F26" s="3" t="n">
        <v>0.09</v>
      </c>
      <c r="G26" s="3" t="n">
        <v>0.27</v>
      </c>
      <c r="H26" s="3">
        <f>ROUND((E26+D26*VLOOKUP(C26,Constants!$A$6:$G$11,2,0))*Constants!$B$2,2)</f>
        <v/>
      </c>
      <c r="I26" s="3">
        <f>ROUND((F26+D26*VLOOKUP(C26,Constants!$A$6:$G$11,3,0))*Constants!$B$2,2)</f>
        <v/>
      </c>
      <c r="J26" s="3">
        <f>ROUND((G26+D26*VLOOKUP(C26,Constants!$A$6:$G$11,4,0))*Constants!$B$2,2)</f>
        <v/>
      </c>
      <c r="K26" s="3">
        <f>ROUND((E26+D26*VLOOKUP(C26,Constants!$A$6:$G$11,5,0))*Constants!$B$1,2)</f>
        <v/>
      </c>
      <c r="L26" s="3">
        <f>ROUND((F26+D26*VLOOKUP(C26,Constants!$A$6:$G$11,6,0))*Constants!$B$1,2)</f>
        <v/>
      </c>
      <c r="M26" s="3">
        <f>ROUND((G26+D26*VLOOKUP(C26,Constants!$A$6:$G$11,7,0))*Constants!$B$1,2)</f>
        <v/>
      </c>
    </row>
    <row r="27">
      <c r="A27" s="2" t="inlineStr">
        <is>
          <t>Apparel_EltexSkullcap</t>
        </is>
      </c>
      <c r="B27" s="2" t="inlineStr">
        <is>
          <t>Fixed</t>
        </is>
      </c>
      <c r="C27" s="2" t="inlineStr">
        <is>
          <t>Fixed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>
        <f>ROUND((E27+D27*VLOOKUP(C27,Constants!$A$6:$G$11,2,0))*Constants!$B$2,2)</f>
        <v/>
      </c>
      <c r="I27" s="3">
        <f>ROUND((F27+D27*VLOOKUP(C27,Constants!$A$6:$G$11,3,0))*Constants!$B$2,2)</f>
        <v/>
      </c>
      <c r="J27" s="3">
        <f>ROUND((G27+D27*VLOOKUP(C27,Constants!$A$6:$G$11,4,0))*Constants!$B$2,2)</f>
        <v/>
      </c>
      <c r="K27" s="3">
        <f>ROUND((E27+D27*VLOOKUP(C27,Constants!$A$6:$G$11,5,0))*Constants!$B$1,2)</f>
        <v/>
      </c>
      <c r="L27" s="3">
        <f>ROUND((F27+D27*VLOOKUP(C27,Constants!$A$6:$G$11,6,0))*Constants!$B$1,2)</f>
        <v/>
      </c>
      <c r="M27" s="3">
        <f>ROUND((G27+D27*VLOOKUP(C27,Constants!$A$6:$G$11,7,0))*Constants!$B$1,2)</f>
        <v/>
      </c>
    </row>
    <row r="28">
      <c r="A28" s="2" t="inlineStr">
        <is>
          <t>Apparel_PsyfocusShirt</t>
        </is>
      </c>
      <c r="B28" s="2" t="inlineStr">
        <is>
          <t>Fixed</t>
        </is>
      </c>
      <c r="C28" s="2" t="inlineStr">
        <is>
          <t>Fixed</t>
        </is>
      </c>
      <c r="D28" s="3" t="n">
        <v>0</v>
      </c>
      <c r="E28" s="3" t="n">
        <v>0.07000000000000001</v>
      </c>
      <c r="F28" s="3" t="n">
        <v>0</v>
      </c>
      <c r="G28" s="3" t="n">
        <v>0.04</v>
      </c>
      <c r="H28" s="3">
        <f>ROUND((E28+D28*VLOOKUP(C28,Constants!$A$6:$G$11,2,0))*Constants!$B$2,2)</f>
        <v/>
      </c>
      <c r="I28" s="3">
        <f>ROUND((F28+D28*VLOOKUP(C28,Constants!$A$6:$G$11,3,0))*Constants!$B$2,2)</f>
        <v/>
      </c>
      <c r="J28" s="3">
        <f>ROUND((G28+D28*VLOOKUP(C28,Constants!$A$6:$G$11,4,0))*Constants!$B$2,2)</f>
        <v/>
      </c>
      <c r="K28" s="3">
        <f>ROUND((E28+D28*VLOOKUP(C28,Constants!$A$6:$G$11,5,0))*Constants!$B$1,2)</f>
        <v/>
      </c>
      <c r="L28" s="3">
        <f>ROUND((F28+D28*VLOOKUP(C28,Constants!$A$6:$G$11,6,0))*Constants!$B$1,2)</f>
        <v/>
      </c>
      <c r="M28" s="3">
        <f>ROUND((G28+D28*VLOOKUP(C28,Constants!$A$6:$G$11,7,0))*Constants!$B$1,2)</f>
        <v/>
      </c>
    </row>
    <row r="29">
      <c r="A29" s="2" t="inlineStr">
        <is>
          <t>Apparel_PsyfocusVest</t>
        </is>
      </c>
      <c r="B29" s="2" t="inlineStr">
        <is>
          <t>Fixed</t>
        </is>
      </c>
      <c r="C29" s="2" t="inlineStr">
        <is>
          <t>Fixed</t>
        </is>
      </c>
      <c r="D29" s="3" t="n">
        <v>0</v>
      </c>
      <c r="E29" s="3" t="n">
        <v>0.07000000000000001</v>
      </c>
      <c r="F29" s="3" t="n">
        <v>0</v>
      </c>
      <c r="G29" s="3" t="n">
        <v>0.04</v>
      </c>
      <c r="H29" s="3">
        <f>ROUND((E29+D29*VLOOKUP(C29,Constants!$A$6:$G$11,2,0))*Constants!$B$2,2)</f>
        <v/>
      </c>
      <c r="I29" s="3">
        <f>ROUND((F29+D29*VLOOKUP(C29,Constants!$A$6:$G$11,3,0))*Constants!$B$2,2)</f>
        <v/>
      </c>
      <c r="J29" s="3">
        <f>ROUND((G29+D29*VLOOKUP(C29,Constants!$A$6:$G$11,4,0))*Constants!$B$2,2)</f>
        <v/>
      </c>
      <c r="K29" s="3">
        <f>ROUND((E29+D29*VLOOKUP(C29,Constants!$A$6:$G$11,5,0))*Constants!$B$1,2)</f>
        <v/>
      </c>
      <c r="L29" s="3">
        <f>ROUND((F29+D29*VLOOKUP(C29,Constants!$A$6:$G$11,6,0))*Constants!$B$1,2)</f>
        <v/>
      </c>
      <c r="M29" s="3">
        <f>ROUND((G29+D29*VLOOKUP(C29,Constants!$A$6:$G$11,7,0))*Constants!$B$1,2)</f>
        <v/>
      </c>
    </row>
    <row r="30">
      <c r="A30" s="2" t="inlineStr">
        <is>
          <t>Apparel_PsyfocusRobe</t>
        </is>
      </c>
      <c r="B30" s="2" t="inlineStr">
        <is>
          <t>Fixed</t>
        </is>
      </c>
      <c r="C30" s="2" t="inlineStr">
        <is>
          <t>Fixed</t>
        </is>
      </c>
      <c r="D30" s="3" t="n">
        <v>0</v>
      </c>
      <c r="E30" s="3" t="n">
        <v>0.07000000000000001</v>
      </c>
      <c r="F30" s="3" t="n">
        <v>0</v>
      </c>
      <c r="G30" s="3" t="n">
        <v>0.04</v>
      </c>
      <c r="H30" s="3">
        <f>ROUND((E30+D30*VLOOKUP(C30,Constants!$A$6:$G$11,2,0))*Constants!$B$2,2)</f>
        <v/>
      </c>
      <c r="I30" s="3">
        <f>ROUND((F30+D30*VLOOKUP(C30,Constants!$A$6:$G$11,3,0))*Constants!$B$2,2)</f>
        <v/>
      </c>
      <c r="J30" s="3">
        <f>ROUND((G30+D30*VLOOKUP(C30,Constants!$A$6:$G$11,4,0))*Constants!$B$2,2)</f>
        <v/>
      </c>
      <c r="K30" s="3">
        <f>ROUND((E30+D30*VLOOKUP(C30,Constants!$A$6:$G$11,5,0))*Constants!$B$1,2)</f>
        <v/>
      </c>
      <c r="L30" s="3">
        <f>ROUND((F30+D30*VLOOKUP(C30,Constants!$A$6:$G$11,6,0))*Constants!$B$1,2)</f>
        <v/>
      </c>
      <c r="M30" s="3">
        <f>ROUND((G30+D30*VLOOKUP(C30,Constants!$A$6:$G$11,7,0))*Constants!$B$1,2)</f>
        <v/>
      </c>
    </row>
    <row r="31">
      <c r="A31" s="2" t="inlineStr">
        <is>
          <t>Apparel_ShirtRuffle</t>
        </is>
      </c>
      <c r="B31" s="2" t="inlineStr">
        <is>
          <t>Fabric,Leathery</t>
        </is>
      </c>
      <c r="C31" s="2" t="inlineStr">
        <is>
          <t>Leathery</t>
        </is>
      </c>
      <c r="D31" s="3" t="n">
        <v>0.2</v>
      </c>
      <c r="E31" s="3" t="n">
        <v>0</v>
      </c>
      <c r="F31" s="3" t="n">
        <v>0</v>
      </c>
      <c r="G31" s="3" t="n">
        <v>0</v>
      </c>
      <c r="H31" s="3">
        <f>ROUND((E31+D31*VLOOKUP(C31,Constants!$A$6:$G$11,2,0))*Constants!$B$2,2)</f>
        <v/>
      </c>
      <c r="I31" s="3">
        <f>ROUND((F31+D31*VLOOKUP(C31,Constants!$A$6:$G$11,3,0))*Constants!$B$2,2)</f>
        <v/>
      </c>
      <c r="J31" s="3">
        <f>ROUND((G31+D31*VLOOKUP(C31,Constants!$A$6:$G$11,4,0))*Constants!$B$2,2)</f>
        <v/>
      </c>
      <c r="K31" s="3">
        <f>ROUND((E31+D31*VLOOKUP(C31,Constants!$A$6:$G$11,5,0))*Constants!$B$1,2)</f>
        <v/>
      </c>
      <c r="L31" s="3">
        <f>ROUND((F31+D31*VLOOKUP(C31,Constants!$A$6:$G$11,6,0))*Constants!$B$1,2)</f>
        <v/>
      </c>
      <c r="M31" s="3">
        <f>ROUND((G31+D31*VLOOKUP(C31,Constants!$A$6:$G$11,7,0))*Constants!$B$1,2)</f>
        <v/>
      </c>
    </row>
    <row r="32">
      <c r="A32" s="2" t="inlineStr">
        <is>
          <t>Apparel_Corset</t>
        </is>
      </c>
      <c r="B32" s="2" t="inlineStr">
        <is>
          <t>Fabric,Leathery</t>
        </is>
      </c>
      <c r="C32" s="2" t="inlineStr">
        <is>
          <t>Leathery</t>
        </is>
      </c>
      <c r="D32" s="3" t="n">
        <v>0.2</v>
      </c>
      <c r="E32" s="3" t="n">
        <v>0</v>
      </c>
      <c r="F32" s="3" t="n">
        <v>0</v>
      </c>
      <c r="G32" s="3" t="n">
        <v>0</v>
      </c>
      <c r="H32" s="3">
        <f>ROUND((E32+D32*VLOOKUP(C32,Constants!$A$6:$G$11,2,0))*Constants!$B$2,2)</f>
        <v/>
      </c>
      <c r="I32" s="3">
        <f>ROUND((F32+D32*VLOOKUP(C32,Constants!$A$6:$G$11,3,0))*Constants!$B$2,2)</f>
        <v/>
      </c>
      <c r="J32" s="3">
        <f>ROUND((G32+D32*VLOOKUP(C32,Constants!$A$6:$G$11,4,0))*Constants!$B$2,2)</f>
        <v/>
      </c>
      <c r="K32" s="3">
        <f>ROUND((E32+D32*VLOOKUP(C32,Constants!$A$6:$G$11,5,0))*Constants!$B$1,2)</f>
        <v/>
      </c>
      <c r="L32" s="3">
        <f>ROUND((F32+D32*VLOOKUP(C32,Constants!$A$6:$G$11,6,0))*Constants!$B$1,2)</f>
        <v/>
      </c>
      <c r="M32" s="3">
        <f>ROUND((G32+D32*VLOOKUP(C32,Constants!$A$6:$G$11,7,0))*Constants!$B$1,2)</f>
        <v/>
      </c>
    </row>
    <row r="33">
      <c r="A33" s="2" t="inlineStr">
        <is>
          <t>Apparel_VestRoyal</t>
        </is>
      </c>
      <c r="B33" s="2" t="inlineStr">
        <is>
          <t>Fabric,Leathery</t>
        </is>
      </c>
      <c r="C33" s="2" t="inlineStr">
        <is>
          <t>Leathery</t>
        </is>
      </c>
      <c r="D33" s="3" t="n">
        <v>0.2</v>
      </c>
      <c r="E33" s="3" t="n">
        <v>0</v>
      </c>
      <c r="F33" s="3" t="n">
        <v>0</v>
      </c>
      <c r="G33" s="3" t="n">
        <v>0</v>
      </c>
      <c r="H33" s="3">
        <f>ROUND((E33+D33*VLOOKUP(C33,Constants!$A$6:$G$11,2,0))*Constants!$B$2,2)</f>
        <v/>
      </c>
      <c r="I33" s="3">
        <f>ROUND((F33+D33*VLOOKUP(C33,Constants!$A$6:$G$11,3,0))*Constants!$B$2,2)</f>
        <v/>
      </c>
      <c r="J33" s="3">
        <f>ROUND((G33+D33*VLOOKUP(C33,Constants!$A$6:$G$11,4,0))*Constants!$B$2,2)</f>
        <v/>
      </c>
      <c r="K33" s="3">
        <f>ROUND((E33+D33*VLOOKUP(C33,Constants!$A$6:$G$11,5,0))*Constants!$B$1,2)</f>
        <v/>
      </c>
      <c r="L33" s="3">
        <f>ROUND((F33+D33*VLOOKUP(C33,Constants!$A$6:$G$11,6,0))*Constants!$B$1,2)</f>
        <v/>
      </c>
      <c r="M33" s="3">
        <f>ROUND((G33+D33*VLOOKUP(C33,Constants!$A$6:$G$11,7,0))*Constants!$B$1,2)</f>
        <v/>
      </c>
    </row>
    <row r="34">
      <c r="A34" s="2" t="inlineStr">
        <is>
          <t>Apparel_RobeRoyal</t>
        </is>
      </c>
      <c r="B34" s="2" t="inlineStr">
        <is>
          <t>Fabric,Leathery</t>
        </is>
      </c>
      <c r="C34" s="2" t="inlineStr">
        <is>
          <t>Leathery</t>
        </is>
      </c>
      <c r="D34" s="3" t="n">
        <v>0.2</v>
      </c>
      <c r="E34" s="3" t="n">
        <v>0</v>
      </c>
      <c r="F34" s="3" t="n">
        <v>0</v>
      </c>
      <c r="G34" s="3" t="n">
        <v>0</v>
      </c>
      <c r="H34" s="3">
        <f>ROUND((E34+D34*VLOOKUP(C34,Constants!$A$6:$G$11,2,0))*Constants!$B$2,2)</f>
        <v/>
      </c>
      <c r="I34" s="3">
        <f>ROUND((F34+D34*VLOOKUP(C34,Constants!$A$6:$G$11,3,0))*Constants!$B$2,2)</f>
        <v/>
      </c>
      <c r="J34" s="3">
        <f>ROUND((G34+D34*VLOOKUP(C34,Constants!$A$6:$G$11,4,0))*Constants!$B$2,2)</f>
        <v/>
      </c>
      <c r="K34" s="3">
        <f>ROUND((E34+D34*VLOOKUP(C34,Constants!$A$6:$G$11,5,0))*Constants!$B$1,2)</f>
        <v/>
      </c>
      <c r="L34" s="3">
        <f>ROUND((F34+D34*VLOOKUP(C34,Constants!$A$6:$G$11,6,0))*Constants!$B$1,2)</f>
        <v/>
      </c>
      <c r="M34" s="3">
        <f>ROUND((G34+D34*VLOOKUP(C34,Constants!$A$6:$G$11,7,0))*Constants!$B$1,2)</f>
        <v/>
      </c>
    </row>
    <row r="35">
      <c r="A35" s="2" t="inlineStr">
        <is>
          <t>Apparel_HatLadies</t>
        </is>
      </c>
      <c r="B35" s="2" t="inlineStr">
        <is>
          <t>Fabric,Leathery</t>
        </is>
      </c>
      <c r="C35" s="2" t="inlineStr">
        <is>
          <t>Leathery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>
        <f>ROUND((E35+D35*VLOOKUP(C35,Constants!$A$6:$G$11,2,0))*Constants!$B$2,2)</f>
        <v/>
      </c>
      <c r="I35" s="3">
        <f>ROUND((F35+D35*VLOOKUP(C35,Constants!$A$6:$G$11,3,0))*Constants!$B$2,2)</f>
        <v/>
      </c>
      <c r="J35" s="3">
        <f>ROUND((G35+D35*VLOOKUP(C35,Constants!$A$6:$G$11,4,0))*Constants!$B$2,2)</f>
        <v/>
      </c>
      <c r="K35" s="3">
        <f>ROUND((E35+D35*VLOOKUP(C35,Constants!$A$6:$G$11,5,0))*Constants!$B$1,2)</f>
        <v/>
      </c>
      <c r="L35" s="3">
        <f>ROUND((F35+D35*VLOOKUP(C35,Constants!$A$6:$G$11,6,0))*Constants!$B$1,2)</f>
        <v/>
      </c>
      <c r="M35" s="3">
        <f>ROUND((G35+D35*VLOOKUP(C35,Constants!$A$6:$G$11,7,0))*Constants!$B$1,2)</f>
        <v/>
      </c>
    </row>
    <row r="36">
      <c r="A36" s="2" t="inlineStr">
        <is>
          <t>Apparel_HatTop</t>
        </is>
      </c>
      <c r="B36" s="2" t="inlineStr">
        <is>
          <t>Fabric,Leathery</t>
        </is>
      </c>
      <c r="C36" s="2" t="inlineStr">
        <is>
          <t>Leathery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>
        <f>ROUND((E36+D36*VLOOKUP(C36,Constants!$A$6:$G$11,2,0))*Constants!$B$2,2)</f>
        <v/>
      </c>
      <c r="I36" s="3">
        <f>ROUND((F36+D36*VLOOKUP(C36,Constants!$A$6:$G$11,3,0))*Constants!$B$2,2)</f>
        <v/>
      </c>
      <c r="J36" s="3">
        <f>ROUND((G36+D36*VLOOKUP(C36,Constants!$A$6:$G$11,4,0))*Constants!$B$2,2)</f>
        <v/>
      </c>
      <c r="K36" s="3">
        <f>ROUND((E36+D36*VLOOKUP(C36,Constants!$A$6:$G$11,5,0))*Constants!$B$1,2)</f>
        <v/>
      </c>
      <c r="L36" s="3">
        <f>ROUND((F36+D36*VLOOKUP(C36,Constants!$A$6:$G$11,6,0))*Constants!$B$1,2)</f>
        <v/>
      </c>
      <c r="M36" s="3">
        <f>ROUND((G36+D36*VLOOKUP(C36,Constants!$A$6:$G$11,7,0))*Constants!$B$1,2)</f>
        <v/>
      </c>
    </row>
    <row r="37">
      <c r="A37" s="2" t="inlineStr">
        <is>
          <t>Apparel_Coronet</t>
        </is>
      </c>
      <c r="B37" s="2" t="inlineStr">
        <is>
          <t>Metallic</t>
        </is>
      </c>
      <c r="C37" s="2" t="inlineStr">
        <is>
          <t>Metallic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>
        <f>ROUND((E37+D37*VLOOKUP(C37,Constants!$A$6:$G$11,2,0))*Constants!$B$2,2)</f>
        <v/>
      </c>
      <c r="I37" s="3">
        <f>ROUND((F37+D37*VLOOKUP(C37,Constants!$A$6:$G$11,3,0))*Constants!$B$2,2)</f>
        <v/>
      </c>
      <c r="J37" s="3">
        <f>ROUND((G37+D37*VLOOKUP(C37,Constants!$A$6:$G$11,4,0))*Constants!$B$2,2)</f>
        <v/>
      </c>
      <c r="K37" s="3">
        <f>ROUND((E37+D37*VLOOKUP(C37,Constants!$A$6:$G$11,5,0))*Constants!$B$1,2)</f>
        <v/>
      </c>
      <c r="L37" s="3">
        <f>ROUND((F37+D37*VLOOKUP(C37,Constants!$A$6:$G$11,6,0))*Constants!$B$1,2)</f>
        <v/>
      </c>
      <c r="M37" s="3">
        <f>ROUND((G37+D37*VLOOKUP(C37,Constants!$A$6:$G$11,7,0))*Constants!$B$1,2)</f>
        <v/>
      </c>
    </row>
    <row r="38">
      <c r="A38" s="2" t="inlineStr">
        <is>
          <t>Apparel_Crown</t>
        </is>
      </c>
      <c r="B38" s="2" t="inlineStr">
        <is>
          <t>Metallic</t>
        </is>
      </c>
      <c r="C38" s="2" t="inlineStr">
        <is>
          <t>Metallic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>
        <f>ROUND((E38+D38*VLOOKUP(C38,Constants!$A$6:$G$11,2,0))*Constants!$B$2,2)</f>
        <v/>
      </c>
      <c r="I38" s="3">
        <f>ROUND((F38+D38*VLOOKUP(C38,Constants!$A$6:$G$11,3,0))*Constants!$B$2,2)</f>
        <v/>
      </c>
      <c r="J38" s="3">
        <f>ROUND((G38+D38*VLOOKUP(C38,Constants!$A$6:$G$11,4,0))*Constants!$B$2,2)</f>
        <v/>
      </c>
      <c r="K38" s="3">
        <f>ROUND((E38+D38*VLOOKUP(C38,Constants!$A$6:$G$11,5,0))*Constants!$B$1,2)</f>
        <v/>
      </c>
      <c r="L38" s="3">
        <f>ROUND((F38+D38*VLOOKUP(C38,Constants!$A$6:$G$11,6,0))*Constants!$B$1,2)</f>
        <v/>
      </c>
      <c r="M38" s="3">
        <f>ROUND((G38+D38*VLOOKUP(C38,Constants!$A$6:$G$11,7,0))*Constants!$B$1,2)</f>
        <v/>
      </c>
    </row>
    <row r="39">
      <c r="A39" s="2" t="inlineStr">
        <is>
          <t>Apparel_CrownStellic</t>
        </is>
      </c>
      <c r="B39" s="2" t="inlineStr">
        <is>
          <t>Metallic</t>
        </is>
      </c>
      <c r="C39" s="2" t="inlineStr">
        <is>
          <t>Metallic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>
        <f>ROUND((E39+D39*VLOOKUP(C39,Constants!$A$6:$G$11,2,0))*Constants!$B$2,2)</f>
        <v/>
      </c>
      <c r="I39" s="3">
        <f>ROUND((F39+D39*VLOOKUP(C39,Constants!$A$6:$G$11,3,0))*Constants!$B$2,2)</f>
        <v/>
      </c>
      <c r="J39" s="3">
        <f>ROUND((G39+D39*VLOOKUP(C39,Constants!$A$6:$G$11,4,0))*Constants!$B$2,2)</f>
        <v/>
      </c>
      <c r="K39" s="3">
        <f>ROUND((E39+D39*VLOOKUP(C39,Constants!$A$6:$G$11,5,0))*Constants!$B$1,2)</f>
        <v/>
      </c>
      <c r="L39" s="3">
        <f>ROUND((F39+D39*VLOOKUP(C39,Constants!$A$6:$G$11,6,0))*Constants!$B$1,2)</f>
        <v/>
      </c>
      <c r="M39" s="3">
        <f>ROUND((G39+D39*VLOOKUP(C39,Constants!$A$6:$G$11,7,0))*Constants!$B$1,2)</f>
        <v/>
      </c>
    </row>
    <row r="40">
      <c r="A40" s="2" t="inlineStr">
        <is>
          <t>Apparel_Beret</t>
        </is>
      </c>
      <c r="B40" s="2" t="inlineStr">
        <is>
          <t>Fabric,Leathery</t>
        </is>
      </c>
      <c r="C40" s="2" t="inlineStr">
        <is>
          <t>Leathery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>
        <f>ROUND((E40+D40*VLOOKUP(C40,Constants!$A$6:$G$11,2,0))*Constants!$B$2,2)</f>
        <v/>
      </c>
      <c r="I40" s="3">
        <f>ROUND((F40+D40*VLOOKUP(C40,Constants!$A$6:$G$11,3,0))*Constants!$B$2,2)</f>
        <v/>
      </c>
      <c r="J40" s="3">
        <f>ROUND((G40+D40*VLOOKUP(C40,Constants!$A$6:$G$11,4,0))*Constants!$B$2,2)</f>
        <v/>
      </c>
      <c r="K40" s="3">
        <f>ROUND((E40+D40*VLOOKUP(C40,Constants!$A$6:$G$11,5,0))*Constants!$B$1,2)</f>
        <v/>
      </c>
      <c r="L40" s="3">
        <f>ROUND((F40+D40*VLOOKUP(C40,Constants!$A$6:$G$11,6,0))*Constants!$B$1,2)</f>
        <v/>
      </c>
      <c r="M40" s="3">
        <f>ROUND((G40+D40*VLOOKUP(C40,Constants!$A$6:$G$11,7,0))*Constants!$B$1,2)</f>
        <v/>
      </c>
    </row>
    <row r="41">
      <c r="A41" s="2" t="inlineStr">
        <is>
          <t>Apparel_ArmorReconPrestige</t>
        </is>
      </c>
      <c r="B41" s="2" t="inlineStr">
        <is>
          <t>Fixed</t>
        </is>
      </c>
      <c r="C41" s="2" t="inlineStr">
        <is>
          <t>Fixed</t>
        </is>
      </c>
      <c r="D41" s="3" t="n">
        <v>0</v>
      </c>
      <c r="E41" s="3" t="n">
        <v>0.92</v>
      </c>
      <c r="F41" s="3" t="n">
        <v>0.4</v>
      </c>
      <c r="G41" s="3" t="n">
        <v>0.46</v>
      </c>
      <c r="H41" s="3">
        <f>ROUND((E41+D41*VLOOKUP(C41,Constants!$A$6:$G$11,2,0))*Constants!$B$2,2)</f>
        <v/>
      </c>
      <c r="I41" s="3">
        <f>ROUND((F41+D41*VLOOKUP(C41,Constants!$A$6:$G$11,3,0))*Constants!$B$2,2)</f>
        <v/>
      </c>
      <c r="J41" s="3">
        <f>ROUND((G41+D41*VLOOKUP(C41,Constants!$A$6:$G$11,4,0))*Constants!$B$2,2)</f>
        <v/>
      </c>
      <c r="K41" s="3">
        <f>ROUND((E41+D41*VLOOKUP(C41,Constants!$A$6:$G$11,5,0))*Constants!$B$1,2)</f>
        <v/>
      </c>
      <c r="L41" s="3">
        <f>ROUND((F41+D41*VLOOKUP(C41,Constants!$A$6:$G$11,6,0))*Constants!$B$1,2)</f>
        <v/>
      </c>
      <c r="M41" s="3">
        <f>ROUND((G41+D41*VLOOKUP(C41,Constants!$A$6:$G$11,7,0))*Constants!$B$1,2)</f>
        <v/>
      </c>
    </row>
    <row r="42">
      <c r="A42" s="2" t="inlineStr">
        <is>
          <t>Apparel_ArmorMarinePrestige</t>
        </is>
      </c>
      <c r="B42" s="2" t="inlineStr">
        <is>
          <t>Fixed</t>
        </is>
      </c>
      <c r="C42" s="2" t="inlineStr">
        <is>
          <t>Fixed</t>
        </is>
      </c>
      <c r="D42" s="3" t="n">
        <v>0</v>
      </c>
      <c r="E42" s="3" t="n">
        <v>1.06</v>
      </c>
      <c r="F42" s="3" t="n">
        <v>0.45</v>
      </c>
      <c r="G42" s="3" t="n">
        <v>0.54</v>
      </c>
      <c r="H42" s="3">
        <f>ROUND((E42+D42*VLOOKUP(C42,Constants!$A$6:$G$11,2,0))*Constants!$B$2,2)</f>
        <v/>
      </c>
      <c r="I42" s="3">
        <f>ROUND((F42+D42*VLOOKUP(C42,Constants!$A$6:$G$11,3,0))*Constants!$B$2,2)</f>
        <v/>
      </c>
      <c r="J42" s="3">
        <f>ROUND((G42+D42*VLOOKUP(C42,Constants!$A$6:$G$11,4,0))*Constants!$B$2,2)</f>
        <v/>
      </c>
      <c r="K42" s="3">
        <f>ROUND((E42+D42*VLOOKUP(C42,Constants!$A$6:$G$11,5,0))*Constants!$B$1,2)</f>
        <v/>
      </c>
      <c r="L42" s="3">
        <f>ROUND((F42+D42*VLOOKUP(C42,Constants!$A$6:$G$11,6,0))*Constants!$B$1,2)</f>
        <v/>
      </c>
      <c r="M42" s="3">
        <f>ROUND((G42+D42*VLOOKUP(C42,Constants!$A$6:$G$11,7,0))*Constants!$B$1,2)</f>
        <v/>
      </c>
    </row>
    <row r="43">
      <c r="A43" s="2" t="inlineStr">
        <is>
          <t>Apparel_ArmorCataphract</t>
        </is>
      </c>
      <c r="B43" s="2" t="inlineStr">
        <is>
          <t>Fixed</t>
        </is>
      </c>
      <c r="C43" s="2" t="inlineStr">
        <is>
          <t>Fixed</t>
        </is>
      </c>
      <c r="D43" s="3" t="n">
        <v>0</v>
      </c>
      <c r="E43" s="3" t="n">
        <v>1.2</v>
      </c>
      <c r="F43" s="3" t="n">
        <v>0.5</v>
      </c>
      <c r="G43" s="3" t="n">
        <v>0.6</v>
      </c>
      <c r="H43" s="3">
        <f>ROUND((E43+D43*VLOOKUP(C43,Constants!$A$6:$G$11,2,0))*Constants!$B$2,2)</f>
        <v/>
      </c>
      <c r="I43" s="3">
        <f>ROUND((F43+D43*VLOOKUP(C43,Constants!$A$6:$G$11,3,0))*Constants!$B$2,2)</f>
        <v/>
      </c>
      <c r="J43" s="3">
        <f>ROUND((G43+D43*VLOOKUP(C43,Constants!$A$6:$G$11,4,0))*Constants!$B$2,2)</f>
        <v/>
      </c>
      <c r="K43" s="3">
        <f>ROUND((E43+D43*VLOOKUP(C43,Constants!$A$6:$G$11,5,0))*Constants!$B$1,2)</f>
        <v/>
      </c>
      <c r="L43" s="3">
        <f>ROUND((F43+D43*VLOOKUP(C43,Constants!$A$6:$G$11,6,0))*Constants!$B$1,2)</f>
        <v/>
      </c>
      <c r="M43" s="3">
        <f>ROUND((G43+D43*VLOOKUP(C43,Constants!$A$6:$G$11,7,0))*Constants!$B$1,2)</f>
        <v/>
      </c>
    </row>
    <row r="44">
      <c r="A44" s="2" t="inlineStr">
        <is>
          <t>Apparel_ArmorCataphractPrestige</t>
        </is>
      </c>
      <c r="B44" s="2" t="inlineStr">
        <is>
          <t>Fixed</t>
        </is>
      </c>
      <c r="C44" s="2" t="inlineStr">
        <is>
          <t>Fixed</t>
        </is>
      </c>
      <c r="D44" s="3" t="n">
        <v>0</v>
      </c>
      <c r="E44" s="3" t="n">
        <v>1.2</v>
      </c>
      <c r="F44" s="3" t="n">
        <v>0.5</v>
      </c>
      <c r="G44" s="3" t="n">
        <v>0.6</v>
      </c>
      <c r="H44" s="3">
        <f>ROUND((E44+D44*VLOOKUP(C44,Constants!$A$6:$G$11,2,0))*Constants!$B$2,2)</f>
        <v/>
      </c>
      <c r="I44" s="3">
        <f>ROUND((F44+D44*VLOOKUP(C44,Constants!$A$6:$G$11,3,0))*Constants!$B$2,2)</f>
        <v/>
      </c>
      <c r="J44" s="3">
        <f>ROUND((G44+D44*VLOOKUP(C44,Constants!$A$6:$G$11,4,0))*Constants!$B$2,2)</f>
        <v/>
      </c>
      <c r="K44" s="3">
        <f>ROUND((E44+D44*VLOOKUP(C44,Constants!$A$6:$G$11,5,0))*Constants!$B$1,2)</f>
        <v/>
      </c>
      <c r="L44" s="3">
        <f>ROUND((F44+D44*VLOOKUP(C44,Constants!$A$6:$G$11,6,0))*Constants!$B$1,2)</f>
        <v/>
      </c>
      <c r="M44" s="3">
        <f>ROUND((G44+D44*VLOOKUP(C44,Constants!$A$6:$G$11,7,0))*Constants!$B$1,2)</f>
        <v/>
      </c>
    </row>
    <row r="45">
      <c r="A45" s="2" t="inlineStr">
        <is>
          <t>Apparel_ArmorLocust</t>
        </is>
      </c>
      <c r="B45" s="2" t="inlineStr">
        <is>
          <t>Fixed</t>
        </is>
      </c>
      <c r="C45" s="2" t="inlineStr">
        <is>
          <t>Fixed</t>
        </is>
      </c>
      <c r="D45" s="3" t="n">
        <v>0</v>
      </c>
      <c r="E45" s="3" t="n">
        <v>0.87</v>
      </c>
      <c r="F45" s="3" t="n">
        <v>0.35</v>
      </c>
      <c r="G45" s="3" t="n">
        <v>0.41</v>
      </c>
      <c r="H45" s="3">
        <f>ROUND((E45+D45*VLOOKUP(C45,Constants!$A$6:$G$11,2,0))*Constants!$B$2,2)</f>
        <v/>
      </c>
      <c r="I45" s="3">
        <f>ROUND((F45+D45*VLOOKUP(C45,Constants!$A$6:$G$11,3,0))*Constants!$B$2,2)</f>
        <v/>
      </c>
      <c r="J45" s="3">
        <f>ROUND((G45+D45*VLOOKUP(C45,Constants!$A$6:$G$11,4,0))*Constants!$B$2,2)</f>
        <v/>
      </c>
      <c r="K45" s="3">
        <f>ROUND((E45+D45*VLOOKUP(C45,Constants!$A$6:$G$11,5,0))*Constants!$B$1,2)</f>
        <v/>
      </c>
      <c r="L45" s="3">
        <f>ROUND((F45+D45*VLOOKUP(C45,Constants!$A$6:$G$11,6,0))*Constants!$B$1,2)</f>
        <v/>
      </c>
      <c r="M45" s="3">
        <f>ROUND((G45+D45*VLOOKUP(C45,Constants!$A$6:$G$11,7,0))*Constants!$B$1,2)</f>
        <v/>
      </c>
    </row>
    <row r="46">
      <c r="A46" s="2" t="inlineStr">
        <is>
          <t>Apparel_ArmorMarineGrenadier</t>
        </is>
      </c>
      <c r="B46" s="2" t="inlineStr">
        <is>
          <t>Fixed</t>
        </is>
      </c>
      <c r="C46" s="2" t="inlineStr">
        <is>
          <t>Fixed</t>
        </is>
      </c>
      <c r="D46" s="3" t="n">
        <v>0</v>
      </c>
      <c r="E46" s="3" t="n">
        <v>1.01</v>
      </c>
      <c r="F46" s="3" t="n">
        <v>0.4</v>
      </c>
      <c r="G46" s="3" t="n">
        <v>0.49</v>
      </c>
      <c r="H46" s="3">
        <f>ROUND((E46+D46*VLOOKUP(C46,Constants!$A$6:$G$11,2,0))*Constants!$B$2,2)</f>
        <v/>
      </c>
      <c r="I46" s="3">
        <f>ROUND((F46+D46*VLOOKUP(C46,Constants!$A$6:$G$11,3,0))*Constants!$B$2,2)</f>
        <v/>
      </c>
      <c r="J46" s="3">
        <f>ROUND((G46+D46*VLOOKUP(C46,Constants!$A$6:$G$11,4,0))*Constants!$B$2,2)</f>
        <v/>
      </c>
      <c r="K46" s="3">
        <f>ROUND((E46+D46*VLOOKUP(C46,Constants!$A$6:$G$11,5,0))*Constants!$B$1,2)</f>
        <v/>
      </c>
      <c r="L46" s="3">
        <f>ROUND((F46+D46*VLOOKUP(C46,Constants!$A$6:$G$11,6,0))*Constants!$B$1,2)</f>
        <v/>
      </c>
      <c r="M46" s="3">
        <f>ROUND((G46+D46*VLOOKUP(C46,Constants!$A$6:$G$11,7,0))*Constants!$B$1,2)</f>
        <v/>
      </c>
    </row>
    <row r="47">
      <c r="A47" s="2" t="inlineStr">
        <is>
          <t>Apparel_ArmorCataphractPhoenix</t>
        </is>
      </c>
      <c r="B47" s="2" t="inlineStr">
        <is>
          <t>Fixed</t>
        </is>
      </c>
      <c r="C47" s="2" t="inlineStr">
        <is>
          <t>Fixed</t>
        </is>
      </c>
      <c r="D47" s="3" t="n">
        <v>0</v>
      </c>
      <c r="E47" s="3" t="n">
        <v>1.15</v>
      </c>
      <c r="F47" s="3" t="n">
        <v>0.45</v>
      </c>
      <c r="G47" s="3" t="n">
        <v>0.75</v>
      </c>
      <c r="H47" s="3">
        <f>ROUND((E47+D47*VLOOKUP(C47,Constants!$A$6:$G$11,2,0))*Constants!$B$2,2)</f>
        <v/>
      </c>
      <c r="I47" s="3">
        <f>ROUND((F47+D47*VLOOKUP(C47,Constants!$A$6:$G$11,3,0))*Constants!$B$2,2)</f>
        <v/>
      </c>
      <c r="J47" s="3">
        <f>ROUND((G47+D47*VLOOKUP(C47,Constants!$A$6:$G$11,4,0))*Constants!$B$2,2)</f>
        <v/>
      </c>
      <c r="K47" s="3">
        <f>ROUND((E47+D47*VLOOKUP(C47,Constants!$A$6:$G$11,5,0))*Constants!$B$1,2)</f>
        <v/>
      </c>
      <c r="L47" s="3">
        <f>ROUND((F47+D47*VLOOKUP(C47,Constants!$A$6:$G$11,6,0))*Constants!$B$1,2)</f>
        <v/>
      </c>
      <c r="M47" s="3">
        <f>ROUND((G47+D47*VLOOKUP(C47,Constants!$A$6:$G$11,7,0))*Constants!$B$1,2)</f>
        <v/>
      </c>
    </row>
    <row r="48">
      <c r="A48" s="2" t="inlineStr">
        <is>
          <t>Apparel_Gunlink</t>
        </is>
      </c>
      <c r="B48" s="2" t="inlineStr">
        <is>
          <t>Fixed</t>
        </is>
      </c>
      <c r="C48" s="2" t="inlineStr">
        <is>
          <t>Fixed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>
        <f>ROUND((E48+D48*VLOOKUP(C48,Constants!$A$6:$G$11,2,0))*Constants!$B$2,2)</f>
        <v/>
      </c>
      <c r="I48" s="3">
        <f>ROUND((F48+D48*VLOOKUP(C48,Constants!$A$6:$G$11,3,0))*Constants!$B$2,2)</f>
        <v/>
      </c>
      <c r="J48" s="3">
        <f>ROUND((G48+D48*VLOOKUP(C48,Constants!$A$6:$G$11,4,0))*Constants!$B$2,2)</f>
        <v/>
      </c>
      <c r="K48" s="3">
        <f>ROUND((E48+D48*VLOOKUP(C48,Constants!$A$6:$G$11,5,0))*Constants!$B$1,2)</f>
        <v/>
      </c>
      <c r="L48" s="3">
        <f>ROUND((F48+D48*VLOOKUP(C48,Constants!$A$6:$G$11,6,0))*Constants!$B$1,2)</f>
        <v/>
      </c>
      <c r="M48" s="3">
        <f>ROUND((G48+D48*VLOOKUP(C48,Constants!$A$6:$G$11,7,0))*Constants!$B$1,2)</f>
        <v/>
      </c>
    </row>
    <row r="49">
      <c r="A49" s="2" t="inlineStr">
        <is>
          <t>Apparel_Headwrap</t>
        </is>
      </c>
      <c r="B49" s="2" t="inlineStr">
        <is>
          <t>Fabric</t>
        </is>
      </c>
      <c r="C49" s="2" t="inlineStr">
        <is>
          <t>Leathery</t>
        </is>
      </c>
      <c r="D49" s="3" t="n">
        <v>0.25</v>
      </c>
      <c r="E49" s="3" t="n">
        <v>0</v>
      </c>
      <c r="F49" s="3" t="n">
        <v>0</v>
      </c>
      <c r="G49" s="3" t="n">
        <v>0</v>
      </c>
      <c r="H49" s="3">
        <f>ROUND((E49+D49*VLOOKUP(C49,Constants!$A$6:$G$11,2,0))*Constants!$B$2,2)</f>
        <v/>
      </c>
      <c r="I49" s="3">
        <f>ROUND((F49+D49*VLOOKUP(C49,Constants!$A$6:$G$11,3,0))*Constants!$B$2,2)</f>
        <v/>
      </c>
      <c r="J49" s="3">
        <f>ROUND((G49+D49*VLOOKUP(C49,Constants!$A$6:$G$11,4,0))*Constants!$B$2,2)</f>
        <v/>
      </c>
      <c r="K49" s="3">
        <f>ROUND((E49+D49*VLOOKUP(C49,Constants!$A$6:$G$11,5,0))*Constants!$B$1,2)</f>
        <v/>
      </c>
      <c r="L49" s="3">
        <f>ROUND((F49+D49*VLOOKUP(C49,Constants!$A$6:$G$11,6,0))*Constants!$B$1,2)</f>
        <v/>
      </c>
      <c r="M49" s="3">
        <f>ROUND((G49+D49*VLOOKUP(C49,Constants!$A$6:$G$11,7,0))*Constants!$B$1,2)</f>
        <v/>
      </c>
    </row>
    <row r="50">
      <c r="A50" s="2" t="inlineStr">
        <is>
          <t>Apparel_Slicecap</t>
        </is>
      </c>
      <c r="B50" s="2" t="inlineStr">
        <is>
          <t>Woody,Metallic</t>
        </is>
      </c>
      <c r="C50" s="2" t="inlineStr">
        <is>
          <t>Metallic</t>
        </is>
      </c>
      <c r="D50" s="3" t="n">
        <v>0.1</v>
      </c>
      <c r="E50" s="3" t="n">
        <v>0</v>
      </c>
      <c r="F50" s="3" t="n">
        <v>0</v>
      </c>
      <c r="G50" s="3" t="n">
        <v>0</v>
      </c>
      <c r="H50" s="3">
        <f>ROUND((E50+D50*VLOOKUP(C50,Constants!$A$6:$G$11,2,0))*Constants!$B$2,2)</f>
        <v/>
      </c>
      <c r="I50" s="3">
        <f>ROUND((F50+D50*VLOOKUP(C50,Constants!$A$6:$G$11,3,0))*Constants!$B$2,2)</f>
        <v/>
      </c>
      <c r="J50" s="3">
        <f>ROUND((G50+D50*VLOOKUP(C50,Constants!$A$6:$G$11,4,0))*Constants!$B$2,2)</f>
        <v/>
      </c>
      <c r="K50" s="3">
        <f>ROUND((E50+D50*VLOOKUP(C50,Constants!$A$6:$G$11,5,0))*Constants!$B$1,2)</f>
        <v/>
      </c>
      <c r="L50" s="3">
        <f>ROUND((F50+D50*VLOOKUP(C50,Constants!$A$6:$G$11,6,0))*Constants!$B$1,2)</f>
        <v/>
      </c>
      <c r="M50" s="3">
        <f>ROUND((G50+D50*VLOOKUP(C50,Constants!$A$6:$G$11,7,0))*Constants!$B$1,2)</f>
        <v/>
      </c>
    </row>
    <row r="51">
      <c r="A51" s="2" t="inlineStr">
        <is>
          <t>Apparel_Collar</t>
        </is>
      </c>
      <c r="B51" s="2" t="inlineStr">
        <is>
          <t>Metallic,Leathery</t>
        </is>
      </c>
      <c r="C51" s="2" t="inlineStr">
        <is>
          <t>Metallic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>
        <f>ROUND((E51+D51*VLOOKUP(C51,Constants!$A$6:$G$11,2,0))*Constants!$B$2,2)</f>
        <v/>
      </c>
      <c r="I51" s="3">
        <f>ROUND((F51+D51*VLOOKUP(C51,Constants!$A$6:$G$11,3,0))*Constants!$B$2,2)</f>
        <v/>
      </c>
      <c r="J51" s="3">
        <f>ROUND((G51+D51*VLOOKUP(C51,Constants!$A$6:$G$11,4,0))*Constants!$B$2,2)</f>
        <v/>
      </c>
      <c r="K51" s="3">
        <f>ROUND((E51+D51*VLOOKUP(C51,Constants!$A$6:$G$11,5,0))*Constants!$B$1,2)</f>
        <v/>
      </c>
      <c r="L51" s="3">
        <f>ROUND((F51+D51*VLOOKUP(C51,Constants!$A$6:$G$11,6,0))*Constants!$B$1,2)</f>
        <v/>
      </c>
      <c r="M51" s="3">
        <f>ROUND((G51+D51*VLOOKUP(C51,Constants!$A$6:$G$11,7,0))*Constants!$B$1,2)</f>
        <v/>
      </c>
    </row>
    <row r="52">
      <c r="A52" s="2" t="inlineStr">
        <is>
          <t>Apparel_AuthorityCap</t>
        </is>
      </c>
      <c r="B52" s="2" t="inlineStr">
        <is>
          <t>Fabric,Leathery</t>
        </is>
      </c>
      <c r="C52" s="2" t="inlineStr">
        <is>
          <t>Leathery</t>
        </is>
      </c>
      <c r="D52" s="3" t="n">
        <v>0.2</v>
      </c>
      <c r="E52" s="3" t="n">
        <v>0</v>
      </c>
      <c r="F52" s="3" t="n">
        <v>0</v>
      </c>
      <c r="G52" s="3" t="n">
        <v>0</v>
      </c>
      <c r="H52" s="3">
        <f>ROUND((E52+D52*VLOOKUP(C52,Constants!$A$6:$G$11,2,0))*Constants!$B$2,2)</f>
        <v/>
      </c>
      <c r="I52" s="3">
        <f>ROUND((F52+D52*VLOOKUP(C52,Constants!$A$6:$G$11,3,0))*Constants!$B$2,2)</f>
        <v/>
      </c>
      <c r="J52" s="3">
        <f>ROUND((G52+D52*VLOOKUP(C52,Constants!$A$6:$G$11,4,0))*Constants!$B$2,2)</f>
        <v/>
      </c>
      <c r="K52" s="3">
        <f>ROUND((E52+D52*VLOOKUP(C52,Constants!$A$6:$G$11,5,0))*Constants!$B$1,2)</f>
        <v/>
      </c>
      <c r="L52" s="3">
        <f>ROUND((F52+D52*VLOOKUP(C52,Constants!$A$6:$G$11,6,0))*Constants!$B$1,2)</f>
        <v/>
      </c>
      <c r="M52" s="3">
        <f>ROUND((G52+D52*VLOOKUP(C52,Constants!$A$6:$G$11,7,0))*Constants!$B$1,2)</f>
        <v/>
      </c>
    </row>
    <row r="53">
      <c r="A53" s="2" t="inlineStr">
        <is>
          <t>Apparel_Tailcap</t>
        </is>
      </c>
      <c r="B53" s="2" t="inlineStr">
        <is>
          <t>Leathery</t>
        </is>
      </c>
      <c r="C53" s="2" t="inlineStr">
        <is>
          <t>Leathery</t>
        </is>
      </c>
      <c r="D53" s="3" t="n">
        <v>0.2</v>
      </c>
      <c r="E53" s="3" t="n">
        <v>0</v>
      </c>
      <c r="F53" s="3" t="n">
        <v>0</v>
      </c>
      <c r="G53" s="3" t="n">
        <v>0</v>
      </c>
      <c r="H53" s="3">
        <f>ROUND((E53+D53*VLOOKUP(C53,Constants!$A$6:$G$11,2,0))*Constants!$B$2,2)</f>
        <v/>
      </c>
      <c r="I53" s="3">
        <f>ROUND((F53+D53*VLOOKUP(C53,Constants!$A$6:$G$11,3,0))*Constants!$B$2,2)</f>
        <v/>
      </c>
      <c r="J53" s="3">
        <f>ROUND((G53+D53*VLOOKUP(C53,Constants!$A$6:$G$11,4,0))*Constants!$B$2,2)</f>
        <v/>
      </c>
      <c r="K53" s="3">
        <f>ROUND((E53+D53*VLOOKUP(C53,Constants!$A$6:$G$11,5,0))*Constants!$B$1,2)</f>
        <v/>
      </c>
      <c r="L53" s="3">
        <f>ROUND((F53+D53*VLOOKUP(C53,Constants!$A$6:$G$11,6,0))*Constants!$B$1,2)</f>
        <v/>
      </c>
      <c r="M53" s="3">
        <f>ROUND((G53+D53*VLOOKUP(C53,Constants!$A$6:$G$11,7,0))*Constants!$B$1,2)</f>
        <v/>
      </c>
    </row>
    <row r="54">
      <c r="A54" s="2" t="inlineStr">
        <is>
          <t>Apparel_Shadecone</t>
        </is>
      </c>
      <c r="B54" s="2" t="inlineStr">
        <is>
          <t>Fabric,Leathery</t>
        </is>
      </c>
      <c r="C54" s="2" t="inlineStr">
        <is>
          <t>Leathery</t>
        </is>
      </c>
      <c r="D54" s="3" t="n">
        <v>0.2</v>
      </c>
      <c r="E54" s="3" t="n">
        <v>0</v>
      </c>
      <c r="F54" s="3" t="n">
        <v>0</v>
      </c>
      <c r="G54" s="3" t="n">
        <v>0</v>
      </c>
      <c r="H54" s="3">
        <f>ROUND((E54+D54*VLOOKUP(C54,Constants!$A$6:$G$11,2,0))*Constants!$B$2,2)</f>
        <v/>
      </c>
      <c r="I54" s="3">
        <f>ROUND((F54+D54*VLOOKUP(C54,Constants!$A$6:$G$11,3,0))*Constants!$B$2,2)</f>
        <v/>
      </c>
      <c r="J54" s="3">
        <f>ROUND((G54+D54*VLOOKUP(C54,Constants!$A$6:$G$11,4,0))*Constants!$B$2,2)</f>
        <v/>
      </c>
      <c r="K54" s="3">
        <f>ROUND((E54+D54*VLOOKUP(C54,Constants!$A$6:$G$11,5,0))*Constants!$B$1,2)</f>
        <v/>
      </c>
      <c r="L54" s="3">
        <f>ROUND((F54+D54*VLOOKUP(C54,Constants!$A$6:$G$11,6,0))*Constants!$B$1,2)</f>
        <v/>
      </c>
      <c r="M54" s="3">
        <f>ROUND((G54+D54*VLOOKUP(C54,Constants!$A$6:$G$11,7,0))*Constants!$B$1,2)</f>
        <v/>
      </c>
    </row>
    <row r="55">
      <c r="A55" s="2" t="inlineStr">
        <is>
          <t>Apparel_Flophat</t>
        </is>
      </c>
      <c r="B55" s="2" t="inlineStr">
        <is>
          <t>Fabric</t>
        </is>
      </c>
      <c r="C55" s="2" t="inlineStr">
        <is>
          <t>Leathery</t>
        </is>
      </c>
      <c r="D55" s="3" t="n">
        <v>0.2</v>
      </c>
      <c r="E55" s="3" t="n">
        <v>0</v>
      </c>
      <c r="F55" s="3" t="n">
        <v>0</v>
      </c>
      <c r="G55" s="3" t="n">
        <v>0</v>
      </c>
      <c r="H55" s="3">
        <f>ROUND((E55+D55*VLOOKUP(C55,Constants!$A$6:$G$11,2,0))*Constants!$B$2,2)</f>
        <v/>
      </c>
      <c r="I55" s="3">
        <f>ROUND((F55+D55*VLOOKUP(C55,Constants!$A$6:$G$11,3,0))*Constants!$B$2,2)</f>
        <v/>
      </c>
      <c r="J55" s="3">
        <f>ROUND((G55+D55*VLOOKUP(C55,Constants!$A$6:$G$11,4,0))*Constants!$B$2,2)</f>
        <v/>
      </c>
      <c r="K55" s="3">
        <f>ROUND((E55+D55*VLOOKUP(C55,Constants!$A$6:$G$11,5,0))*Constants!$B$1,2)</f>
        <v/>
      </c>
      <c r="L55" s="3">
        <f>ROUND((F55+D55*VLOOKUP(C55,Constants!$A$6:$G$11,6,0))*Constants!$B$1,2)</f>
        <v/>
      </c>
      <c r="M55" s="3">
        <f>ROUND((G55+D55*VLOOKUP(C55,Constants!$A$6:$G$11,7,0))*Constants!$B$1,2)</f>
        <v/>
      </c>
    </row>
    <row r="56">
      <c r="A56" s="2" t="inlineStr">
        <is>
          <t>Apparel_BodyStrap</t>
        </is>
      </c>
      <c r="B56" s="2" t="inlineStr">
        <is>
          <t>Fabric,Leathery</t>
        </is>
      </c>
      <c r="C56" s="2" t="inlineStr">
        <is>
          <t>Leathery</t>
        </is>
      </c>
      <c r="D56" s="3" t="n">
        <v>0.1</v>
      </c>
      <c r="E56" s="3" t="n">
        <v>0</v>
      </c>
      <c r="F56" s="3" t="n">
        <v>0</v>
      </c>
      <c r="G56" s="3" t="n">
        <v>0</v>
      </c>
      <c r="H56" s="3">
        <f>ROUND((E56+D56*VLOOKUP(C56,Constants!$A$6:$G$11,2,0))*Constants!$B$2,2)</f>
        <v/>
      </c>
      <c r="I56" s="3">
        <f>ROUND((F56+D56*VLOOKUP(C56,Constants!$A$6:$G$11,3,0))*Constants!$B$2,2)</f>
        <v/>
      </c>
      <c r="J56" s="3">
        <f>ROUND((G56+D56*VLOOKUP(C56,Constants!$A$6:$G$11,4,0))*Constants!$B$2,2)</f>
        <v/>
      </c>
      <c r="K56" s="3">
        <f>ROUND((E56+D56*VLOOKUP(C56,Constants!$A$6:$G$11,5,0))*Constants!$B$1,2)</f>
        <v/>
      </c>
      <c r="L56" s="3">
        <f>ROUND((F56+D56*VLOOKUP(C56,Constants!$A$6:$G$11,6,0))*Constants!$B$1,2)</f>
        <v/>
      </c>
      <c r="M56" s="3">
        <f>ROUND((G56+D56*VLOOKUP(C56,Constants!$A$6:$G$11,7,0))*Constants!$B$1,2)</f>
        <v/>
      </c>
    </row>
    <row r="57">
      <c r="A57" s="2" t="inlineStr">
        <is>
          <t>Apparel_TortureCrown</t>
        </is>
      </c>
      <c r="B57" s="2" t="inlineStr">
        <is>
          <t>Metallic,Woody</t>
        </is>
      </c>
      <c r="C57" s="2" t="inlineStr">
        <is>
          <t>Metallic</t>
        </is>
      </c>
      <c r="D57" s="3" t="n">
        <v>0.15</v>
      </c>
      <c r="E57" s="3" t="n">
        <v>0</v>
      </c>
      <c r="F57" s="3" t="n">
        <v>0</v>
      </c>
      <c r="G57" s="3" t="n">
        <v>0</v>
      </c>
      <c r="H57" s="3">
        <f>ROUND((E57+D57*VLOOKUP(C57,Constants!$A$6:$G$11,2,0))*Constants!$B$2,2)</f>
        <v/>
      </c>
      <c r="I57" s="3">
        <f>ROUND((F57+D57*VLOOKUP(C57,Constants!$A$6:$G$11,3,0))*Constants!$B$2,2)</f>
        <v/>
      </c>
      <c r="J57" s="3">
        <f>ROUND((G57+D57*VLOOKUP(C57,Constants!$A$6:$G$11,4,0))*Constants!$B$2,2)</f>
        <v/>
      </c>
      <c r="K57" s="3">
        <f>ROUND((E57+D57*VLOOKUP(C57,Constants!$A$6:$G$11,5,0))*Constants!$B$1,2)</f>
        <v/>
      </c>
      <c r="L57" s="3">
        <f>ROUND((F57+D57*VLOOKUP(C57,Constants!$A$6:$G$11,6,0))*Constants!$B$1,2)</f>
        <v/>
      </c>
      <c r="M57" s="3">
        <f>ROUND((G57+D57*VLOOKUP(C57,Constants!$A$6:$G$11,7,0))*Constants!$B$1,2)</f>
        <v/>
      </c>
    </row>
    <row r="58">
      <c r="A58" s="2" t="inlineStr">
        <is>
          <t>Apparel_KidRomper</t>
        </is>
      </c>
      <c r="B58" s="2" t="inlineStr">
        <is>
          <t>Fabric,Leathery</t>
        </is>
      </c>
      <c r="C58" s="2" t="inlineStr">
        <is>
          <t>Leathery</t>
        </is>
      </c>
      <c r="D58" s="3" t="n">
        <v>0.2</v>
      </c>
      <c r="E58" s="3" t="n">
        <v>0</v>
      </c>
      <c r="F58" s="3" t="n">
        <v>0</v>
      </c>
      <c r="G58" s="3" t="n">
        <v>0</v>
      </c>
      <c r="H58" s="3">
        <f>ROUND((E58+D58*VLOOKUP(C58,Constants!$A$6:$G$11,2,0))*Constants!$B$2,2)</f>
        <v/>
      </c>
      <c r="I58" s="3">
        <f>ROUND((F58+D58*VLOOKUP(C58,Constants!$A$6:$G$11,3,0))*Constants!$B$2,2)</f>
        <v/>
      </c>
      <c r="J58" s="3">
        <f>ROUND((G58+D58*VLOOKUP(C58,Constants!$A$6:$G$11,4,0))*Constants!$B$2,2)</f>
        <v/>
      </c>
      <c r="K58" s="3">
        <f>ROUND((E58+D58*VLOOKUP(C58,Constants!$A$6:$G$11,5,0))*Constants!$B$1,2)</f>
        <v/>
      </c>
      <c r="L58" s="3">
        <f>ROUND((F58+D58*VLOOKUP(C58,Constants!$A$6:$G$11,6,0))*Constants!$B$1,2)</f>
        <v/>
      </c>
      <c r="M58" s="3">
        <f>ROUND((G58+D58*VLOOKUP(C58,Constants!$A$6:$G$11,7,0))*Constants!$B$1,2)</f>
        <v/>
      </c>
    </row>
    <row r="59">
      <c r="A59" s="2" t="inlineStr">
        <is>
          <t>Apparel_KidShirt</t>
        </is>
      </c>
      <c r="B59" s="2" t="inlineStr">
        <is>
          <t>Fabric,Leathery</t>
        </is>
      </c>
      <c r="C59" s="2" t="inlineStr">
        <is>
          <t>Leathery</t>
        </is>
      </c>
      <c r="D59" s="3" t="n">
        <v>0.2</v>
      </c>
      <c r="E59" s="3" t="n">
        <v>0</v>
      </c>
      <c r="F59" s="3" t="n">
        <v>0</v>
      </c>
      <c r="G59" s="3" t="n">
        <v>0</v>
      </c>
      <c r="H59" s="3">
        <f>ROUND((E59+D59*VLOOKUP(C59,Constants!$A$6:$G$11,2,0))*Constants!$B$2,2)</f>
        <v/>
      </c>
      <c r="I59" s="3">
        <f>ROUND((F59+D59*VLOOKUP(C59,Constants!$A$6:$G$11,3,0))*Constants!$B$2,2)</f>
        <v/>
      </c>
      <c r="J59" s="3">
        <f>ROUND((G59+D59*VLOOKUP(C59,Constants!$A$6:$G$11,4,0))*Constants!$B$2,2)</f>
        <v/>
      </c>
      <c r="K59" s="3">
        <f>ROUND((E59+D59*VLOOKUP(C59,Constants!$A$6:$G$11,5,0))*Constants!$B$1,2)</f>
        <v/>
      </c>
      <c r="L59" s="3">
        <f>ROUND((F59+D59*VLOOKUP(C59,Constants!$A$6:$G$11,6,0))*Constants!$B$1,2)</f>
        <v/>
      </c>
      <c r="M59" s="3">
        <f>ROUND((G59+D59*VLOOKUP(C59,Constants!$A$6:$G$11,7,0))*Constants!$B$1,2)</f>
        <v/>
      </c>
    </row>
    <row r="60">
      <c r="A60" s="2" t="inlineStr">
        <is>
          <t>Apparel_KidPants</t>
        </is>
      </c>
      <c r="B60" s="2" t="inlineStr">
        <is>
          <t>Fabric,Leathery</t>
        </is>
      </c>
      <c r="C60" s="2" t="inlineStr">
        <is>
          <t>Leathery</t>
        </is>
      </c>
      <c r="D60" s="3" t="n">
        <v>0.2</v>
      </c>
      <c r="E60" s="3" t="n">
        <v>0</v>
      </c>
      <c r="F60" s="3" t="n">
        <v>0</v>
      </c>
      <c r="G60" s="3" t="n">
        <v>0</v>
      </c>
      <c r="H60" s="3">
        <f>ROUND((E60+D60*VLOOKUP(C60,Constants!$A$6:$G$11,2,0))*Constants!$B$2,2)</f>
        <v/>
      </c>
      <c r="I60" s="3">
        <f>ROUND((F60+D60*VLOOKUP(C60,Constants!$A$6:$G$11,3,0))*Constants!$B$2,2)</f>
        <v/>
      </c>
      <c r="J60" s="3">
        <f>ROUND((G60+D60*VLOOKUP(C60,Constants!$A$6:$G$11,4,0))*Constants!$B$2,2)</f>
        <v/>
      </c>
      <c r="K60" s="3">
        <f>ROUND((E60+D60*VLOOKUP(C60,Constants!$A$6:$G$11,5,0))*Constants!$B$1,2)</f>
        <v/>
      </c>
      <c r="L60" s="3">
        <f>ROUND((F60+D60*VLOOKUP(C60,Constants!$A$6:$G$11,6,0))*Constants!$B$1,2)</f>
        <v/>
      </c>
      <c r="M60" s="3">
        <f>ROUND((G60+D60*VLOOKUP(C60,Constants!$A$6:$G$11,7,0))*Constants!$B$1,2)</f>
        <v/>
      </c>
    </row>
    <row r="61">
      <c r="A61" s="2" t="inlineStr">
        <is>
          <t>Apparel_KidParka</t>
        </is>
      </c>
      <c r="B61" s="2" t="inlineStr">
        <is>
          <t>Fabric,Leathery</t>
        </is>
      </c>
      <c r="C61" s="2" t="inlineStr">
        <is>
          <t>Leathery</t>
        </is>
      </c>
      <c r="D61" s="3" t="n">
        <v>0.2</v>
      </c>
      <c r="E61" s="3" t="n">
        <v>0</v>
      </c>
      <c r="F61" s="3" t="n">
        <v>0</v>
      </c>
      <c r="G61" s="3" t="n">
        <v>0</v>
      </c>
      <c r="H61" s="3">
        <f>ROUND((E61+D61*VLOOKUP(C61,Constants!$A$6:$G$11,2,0))*Constants!$B$2,2)</f>
        <v/>
      </c>
      <c r="I61" s="3">
        <f>ROUND((F61+D61*VLOOKUP(C61,Constants!$A$6:$G$11,3,0))*Constants!$B$2,2)</f>
        <v/>
      </c>
      <c r="J61" s="3">
        <f>ROUND((G61+D61*VLOOKUP(C61,Constants!$A$6:$G$11,4,0))*Constants!$B$2,2)</f>
        <v/>
      </c>
      <c r="K61" s="3">
        <f>ROUND((E61+D61*VLOOKUP(C61,Constants!$A$6:$G$11,5,0))*Constants!$B$1,2)</f>
        <v/>
      </c>
      <c r="L61" s="3">
        <f>ROUND((F61+D61*VLOOKUP(C61,Constants!$A$6:$G$11,6,0))*Constants!$B$1,2)</f>
        <v/>
      </c>
      <c r="M61" s="3">
        <f>ROUND((G61+D61*VLOOKUP(C61,Constants!$A$6:$G$11,7,0))*Constants!$B$1,2)</f>
        <v/>
      </c>
    </row>
    <row r="62">
      <c r="A62" s="2" t="inlineStr">
        <is>
          <t>Apparel_KidTribal</t>
        </is>
      </c>
      <c r="B62" s="2" t="inlineStr">
        <is>
          <t>Fabric,Leathery</t>
        </is>
      </c>
      <c r="C62" s="2" t="inlineStr">
        <is>
          <t>Leathery</t>
        </is>
      </c>
      <c r="D62" s="3" t="n">
        <v>0.2</v>
      </c>
      <c r="E62" s="3" t="n">
        <v>0</v>
      </c>
      <c r="F62" s="3" t="n">
        <v>0</v>
      </c>
      <c r="G62" s="3" t="n">
        <v>0</v>
      </c>
      <c r="H62" s="3">
        <f>ROUND((E62+D62*VLOOKUP(C62,Constants!$A$6:$G$11,2,0))*Constants!$B$2,2)</f>
        <v/>
      </c>
      <c r="I62" s="3">
        <f>ROUND((F62+D62*VLOOKUP(C62,Constants!$A$6:$G$11,3,0))*Constants!$B$2,2)</f>
        <v/>
      </c>
      <c r="J62" s="3">
        <f>ROUND((G62+D62*VLOOKUP(C62,Constants!$A$6:$G$11,4,0))*Constants!$B$2,2)</f>
        <v/>
      </c>
      <c r="K62" s="3">
        <f>ROUND((E62+D62*VLOOKUP(C62,Constants!$A$6:$G$11,5,0))*Constants!$B$1,2)</f>
        <v/>
      </c>
      <c r="L62" s="3">
        <f>ROUND((F62+D62*VLOOKUP(C62,Constants!$A$6:$G$11,6,0))*Constants!$B$1,2)</f>
        <v/>
      </c>
      <c r="M62" s="3">
        <f>ROUND((G62+D62*VLOOKUP(C62,Constants!$A$6:$G$11,7,0))*Constants!$B$1,2)</f>
        <v/>
      </c>
    </row>
    <row r="63">
      <c r="A63" s="2" t="inlineStr">
        <is>
          <t>Apparel_KidHelmet</t>
        </is>
      </c>
      <c r="B63" s="2" t="inlineStr">
        <is>
          <t>Metallic</t>
        </is>
      </c>
      <c r="C63" s="2" t="inlineStr">
        <is>
          <t>Metallic</t>
        </is>
      </c>
      <c r="D63" s="3" t="n">
        <v>0.5</v>
      </c>
      <c r="E63" s="3" t="n">
        <v>0</v>
      </c>
      <c r="F63" s="3" t="n">
        <v>0</v>
      </c>
      <c r="G63" s="3" t="n">
        <v>0</v>
      </c>
      <c r="H63" s="3">
        <f>ROUND((E63+D63*VLOOKUP(C63,Constants!$A$6:$G$11,2,0))*Constants!$B$2,2)</f>
        <v/>
      </c>
      <c r="I63" s="3">
        <f>ROUND((F63+D63*VLOOKUP(C63,Constants!$A$6:$G$11,3,0))*Constants!$B$2,2)</f>
        <v/>
      </c>
      <c r="J63" s="3">
        <f>ROUND((G63+D63*VLOOKUP(C63,Constants!$A$6:$G$11,4,0))*Constants!$B$2,2)</f>
        <v/>
      </c>
      <c r="K63" s="3">
        <f>ROUND((E63+D63*VLOOKUP(C63,Constants!$A$6:$G$11,5,0))*Constants!$B$1,2)</f>
        <v/>
      </c>
      <c r="L63" s="3">
        <f>ROUND((F63+D63*VLOOKUP(C63,Constants!$A$6:$G$11,6,0))*Constants!$B$1,2)</f>
        <v/>
      </c>
      <c r="M63" s="3">
        <f>ROUND((G63+D63*VLOOKUP(C63,Constants!$A$6:$G$11,7,0))*Constants!$B$1,2)</f>
        <v/>
      </c>
    </row>
    <row r="64">
      <c r="A64" s="2" t="inlineStr">
        <is>
          <t>Apparel_AirwireHeadset</t>
        </is>
      </c>
      <c r="B64" s="2" t="inlineStr">
        <is>
          <t>Fixed</t>
        </is>
      </c>
      <c r="C64" s="2" t="inlineStr">
        <is>
          <t>Fixed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>
        <f>ROUND((E64+D64*VLOOKUP(C64,Constants!$A$6:$G$11,2,0))*Constants!$B$2,2)</f>
        <v/>
      </c>
      <c r="I64" s="3">
        <f>ROUND((F64+D64*VLOOKUP(C64,Constants!$A$6:$G$11,3,0))*Constants!$B$2,2)</f>
        <v/>
      </c>
      <c r="J64" s="3">
        <f>ROUND((G64+D64*VLOOKUP(C64,Constants!$A$6:$G$11,4,0))*Constants!$B$2,2)</f>
        <v/>
      </c>
      <c r="K64" s="3">
        <f>ROUND((E64+D64*VLOOKUP(C64,Constants!$A$6:$G$11,5,0))*Constants!$B$1,2)</f>
        <v/>
      </c>
      <c r="L64" s="3">
        <f>ROUND((F64+D64*VLOOKUP(C64,Constants!$A$6:$G$11,6,0))*Constants!$B$1,2)</f>
        <v/>
      </c>
      <c r="M64" s="3">
        <f>ROUND((G64+D64*VLOOKUP(C64,Constants!$A$6:$G$11,7,0))*Constants!$B$1,2)</f>
        <v/>
      </c>
    </row>
    <row r="65">
      <c r="A65" s="2" t="inlineStr">
        <is>
          <t>Apparel_ArrayHeadset</t>
        </is>
      </c>
      <c r="B65" s="2" t="inlineStr">
        <is>
          <t>Fixed</t>
        </is>
      </c>
      <c r="C65" s="2" t="inlineStr">
        <is>
          <t>Fixed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>
        <f>ROUND((E65+D65*VLOOKUP(C65,Constants!$A$6:$G$11,2,0))*Constants!$B$2,2)</f>
        <v/>
      </c>
      <c r="I65" s="3">
        <f>ROUND((F65+D65*VLOOKUP(C65,Constants!$A$6:$G$11,3,0))*Constants!$B$2,2)</f>
        <v/>
      </c>
      <c r="J65" s="3">
        <f>ROUND((G65+D65*VLOOKUP(C65,Constants!$A$6:$G$11,4,0))*Constants!$B$2,2)</f>
        <v/>
      </c>
      <c r="K65" s="3">
        <f>ROUND((E65+D65*VLOOKUP(C65,Constants!$A$6:$G$11,5,0))*Constants!$B$1,2)</f>
        <v/>
      </c>
      <c r="L65" s="3">
        <f>ROUND((F65+D65*VLOOKUP(C65,Constants!$A$6:$G$11,6,0))*Constants!$B$1,2)</f>
        <v/>
      </c>
      <c r="M65" s="3">
        <f>ROUND((G65+D65*VLOOKUP(C65,Constants!$A$6:$G$11,7,0))*Constants!$B$1,2)</f>
        <v/>
      </c>
    </row>
    <row r="66">
      <c r="A66" s="2" t="inlineStr">
        <is>
          <t>Apparel_IntegratorHeadset</t>
        </is>
      </c>
      <c r="B66" s="2" t="inlineStr">
        <is>
          <t>Fixed</t>
        </is>
      </c>
      <c r="C66" s="2" t="inlineStr">
        <is>
          <t>Fixed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>
        <f>ROUND((E66+D66*VLOOKUP(C66,Constants!$A$6:$G$11,2,0))*Constants!$B$2,2)</f>
        <v/>
      </c>
      <c r="I66" s="3">
        <f>ROUND((F66+D66*VLOOKUP(C66,Constants!$A$6:$G$11,3,0))*Constants!$B$2,2)</f>
        <v/>
      </c>
      <c r="J66" s="3">
        <f>ROUND((G66+D66*VLOOKUP(C66,Constants!$A$6:$G$11,4,0))*Constants!$B$2,2)</f>
        <v/>
      </c>
      <c r="K66" s="3">
        <f>ROUND((E66+D66*VLOOKUP(C66,Constants!$A$6:$G$11,5,0))*Constants!$B$1,2)</f>
        <v/>
      </c>
      <c r="L66" s="3">
        <f>ROUND((F66+D66*VLOOKUP(C66,Constants!$A$6:$G$11,6,0))*Constants!$B$1,2)</f>
        <v/>
      </c>
      <c r="M66" s="3">
        <f>ROUND((G66+D66*VLOOKUP(C66,Constants!$A$6:$G$11,7,0))*Constants!$B$1,2)</f>
        <v/>
      </c>
    </row>
    <row r="67">
      <c r="A67" s="2" t="inlineStr">
        <is>
          <t>Apparel_HeavyShield</t>
        </is>
      </c>
      <c r="B67" s="2" t="inlineStr">
        <is>
          <t>Fixed</t>
        </is>
      </c>
      <c r="C67" s="2" t="inlineStr">
        <is>
          <t>Fixed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>
        <f>ROUND((E67+D67*VLOOKUP(C67,Constants!$A$6:$G$11,2,0))*Constants!$B$2,2)</f>
        <v/>
      </c>
      <c r="I67" s="3">
        <f>ROUND((F67+D67*VLOOKUP(C67,Constants!$A$6:$G$11,3,0))*Constants!$B$2,2)</f>
        <v/>
      </c>
      <c r="J67" s="3">
        <f>ROUND((G67+D67*VLOOKUP(C67,Constants!$A$6:$G$11,4,0))*Constants!$B$2,2)</f>
        <v/>
      </c>
      <c r="K67" s="3">
        <f>ROUND((E67+D67*VLOOKUP(C67,Constants!$A$6:$G$11,5,0))*Constants!$B$1,2)</f>
        <v/>
      </c>
      <c r="L67" s="3">
        <f>ROUND((F67+D67*VLOOKUP(C67,Constants!$A$6:$G$11,6,0))*Constants!$B$1,2)</f>
        <v/>
      </c>
      <c r="M67" s="3">
        <f>ROUND((G67+D67*VLOOKUP(C67,Constants!$A$6:$G$11,7,0))*Constants!$B$1,2)</f>
        <v/>
      </c>
    </row>
    <row r="68">
      <c r="A68" s="2" t="inlineStr">
        <is>
          <t>Apparel_MechlordSuit</t>
        </is>
      </c>
      <c r="B68" s="2" t="inlineStr">
        <is>
          <t>Fixed</t>
        </is>
      </c>
      <c r="C68" s="2" t="inlineStr">
        <is>
          <t>Fixed</t>
        </is>
      </c>
      <c r="D68" s="3" t="n">
        <v>0</v>
      </c>
      <c r="E68" s="3" t="n">
        <v>0.92</v>
      </c>
      <c r="F68" s="3" t="n">
        <v>0.4</v>
      </c>
      <c r="G68" s="3" t="n">
        <v>0.46</v>
      </c>
      <c r="H68" s="3">
        <f>ROUND((E68+D68*VLOOKUP(C68,Constants!$A$6:$G$11,2,0))*Constants!$B$2,2)</f>
        <v/>
      </c>
      <c r="I68" s="3">
        <f>ROUND((F68+D68*VLOOKUP(C68,Constants!$A$6:$G$11,3,0))*Constants!$B$2,2)</f>
        <v/>
      </c>
      <c r="J68" s="3">
        <f>ROUND((G68+D68*VLOOKUP(C68,Constants!$A$6:$G$11,4,0))*Constants!$B$2,2)</f>
        <v/>
      </c>
      <c r="K68" s="3">
        <f>ROUND((E68+D68*VLOOKUP(C68,Constants!$A$6:$G$11,5,0))*Constants!$B$1,2)</f>
        <v/>
      </c>
      <c r="L68" s="3">
        <f>ROUND((F68+D68*VLOOKUP(C68,Constants!$A$6:$G$11,6,0))*Constants!$B$1,2)</f>
        <v/>
      </c>
      <c r="M68" s="3">
        <f>ROUND((G68+D68*VLOOKUP(C68,Constants!$A$6:$G$11,7,0))*Constants!$B$1,2)</f>
        <v/>
      </c>
    </row>
    <row r="69">
      <c r="A69" s="2" t="inlineStr">
        <is>
          <t>Apparel_Bandolier</t>
        </is>
      </c>
      <c r="B69" s="2" t="inlineStr">
        <is>
          <t>Fabric,Leathery</t>
        </is>
      </c>
      <c r="C69" s="2" t="inlineStr">
        <is>
          <t>Leathery</t>
        </is>
      </c>
      <c r="D69" s="3" t="n">
        <v>0.1</v>
      </c>
      <c r="E69" s="3" t="n">
        <v>0</v>
      </c>
      <c r="F69" s="3" t="n">
        <v>0</v>
      </c>
      <c r="G69" s="3" t="n">
        <v>0</v>
      </c>
      <c r="H69" s="3">
        <f>ROUND((E69+D69*VLOOKUP(C69,Constants!$A$6:$G$11,2,0))*Constants!$B$2,2)</f>
        <v/>
      </c>
      <c r="I69" s="3">
        <f>ROUND((F69+D69*VLOOKUP(C69,Constants!$A$6:$G$11,3,0))*Constants!$B$2,2)</f>
        <v/>
      </c>
      <c r="J69" s="3">
        <f>ROUND((G69+D69*VLOOKUP(C69,Constants!$A$6:$G$11,4,0))*Constants!$B$2,2)</f>
        <v/>
      </c>
      <c r="K69" s="3">
        <f>ROUND((E69+D69*VLOOKUP(C69,Constants!$A$6:$G$11,5,0))*Constants!$B$1,2)</f>
        <v/>
      </c>
      <c r="L69" s="3">
        <f>ROUND((F69+D69*VLOOKUP(C69,Constants!$A$6:$G$11,6,0))*Constants!$B$1,2)</f>
        <v/>
      </c>
      <c r="M69" s="3">
        <f>ROUND((G69+D69*VLOOKUP(C69,Constants!$A$6:$G$11,7,0))*Constants!$B$1,2)</f>
        <v/>
      </c>
    </row>
    <row r="70">
      <c r="A70" s="2" t="inlineStr">
        <is>
          <t>Apparel_Sash</t>
        </is>
      </c>
      <c r="B70" s="2" t="inlineStr">
        <is>
          <t>Fabric,Leathery</t>
        </is>
      </c>
      <c r="C70" s="2" t="inlineStr">
        <is>
          <t>Leathery</t>
        </is>
      </c>
      <c r="D70" s="3" t="n">
        <v>0.1</v>
      </c>
      <c r="E70" s="3" t="n">
        <v>0</v>
      </c>
      <c r="F70" s="3" t="n">
        <v>0</v>
      </c>
      <c r="G70" s="3" t="n">
        <v>0</v>
      </c>
      <c r="H70" s="3">
        <f>ROUND((E70+D70*VLOOKUP(C70,Constants!$A$6:$G$11,2,0))*Constants!$B$2,2)</f>
        <v/>
      </c>
      <c r="I70" s="3">
        <f>ROUND((F70+D70*VLOOKUP(C70,Constants!$A$6:$G$11,3,0))*Constants!$B$2,2)</f>
        <v/>
      </c>
      <c r="J70" s="3">
        <f>ROUND((G70+D70*VLOOKUP(C70,Constants!$A$6:$G$11,4,0))*Constants!$B$2,2)</f>
        <v/>
      </c>
      <c r="K70" s="3">
        <f>ROUND((E70+D70*VLOOKUP(C70,Constants!$A$6:$G$11,5,0))*Constants!$B$1,2)</f>
        <v/>
      </c>
      <c r="L70" s="3">
        <f>ROUND((F70+D70*VLOOKUP(C70,Constants!$A$6:$G$11,6,0))*Constants!$B$1,2)</f>
        <v/>
      </c>
      <c r="M70" s="3">
        <f>ROUND((G70+D70*VLOOKUP(C70,Constants!$A$6:$G$11,7,0))*Constants!$B$1,2)</f>
        <v/>
      </c>
    </row>
    <row r="71">
      <c r="A71" s="2" t="inlineStr">
        <is>
          <t>Apparel_LabCoat</t>
        </is>
      </c>
      <c r="B71" s="2" t="inlineStr">
        <is>
          <t>Fabric,Leathery</t>
        </is>
      </c>
      <c r="C71" s="2" t="inlineStr">
        <is>
          <t>Leathery</t>
        </is>
      </c>
      <c r="D71" s="3" t="n">
        <v>0.2</v>
      </c>
      <c r="E71" s="3" t="n">
        <v>0</v>
      </c>
      <c r="F71" s="3" t="n">
        <v>0</v>
      </c>
      <c r="G71" s="3" t="n">
        <v>0</v>
      </c>
      <c r="H71" s="3">
        <f>ROUND((E71+D71*VLOOKUP(C71,Constants!$A$6:$G$11,2,0))*Constants!$B$2,2)</f>
        <v/>
      </c>
      <c r="I71" s="3">
        <f>ROUND((F71+D71*VLOOKUP(C71,Constants!$A$6:$G$11,3,0))*Constants!$B$2,2)</f>
        <v/>
      </c>
      <c r="J71" s="3">
        <f>ROUND((G71+D71*VLOOKUP(C71,Constants!$A$6:$G$11,4,0))*Constants!$B$2,2)</f>
        <v/>
      </c>
      <c r="K71" s="3">
        <f>ROUND((E71+D71*VLOOKUP(C71,Constants!$A$6:$G$11,5,0))*Constants!$B$1,2)</f>
        <v/>
      </c>
      <c r="L71" s="3">
        <f>ROUND((F71+D71*VLOOKUP(C71,Constants!$A$6:$G$11,6,0))*Constants!$B$1,2)</f>
        <v/>
      </c>
      <c r="M71" s="3">
        <f>ROUND((G71+D71*VLOOKUP(C71,Constants!$A$6:$G$11,7,0))*Constants!$B$1,2)</f>
        <v/>
      </c>
    </row>
    <row r="72">
      <c r="A72" s="2" t="inlineStr">
        <is>
          <t>Apparel_Vacsuit</t>
        </is>
      </c>
      <c r="B72" s="2" t="inlineStr">
        <is>
          <t>Fixed</t>
        </is>
      </c>
      <c r="C72" s="2" t="inlineStr">
        <is>
          <t>Fixed</t>
        </is>
      </c>
      <c r="D72" s="3" t="n">
        <v>0</v>
      </c>
      <c r="E72" s="3" t="n">
        <v>0.52</v>
      </c>
      <c r="F72" s="3" t="n">
        <v>0.25</v>
      </c>
      <c r="G72" s="3" t="n">
        <v>0.66</v>
      </c>
      <c r="H72" s="3">
        <f>ROUND((E72+D72*VLOOKUP(C72,Constants!$A$6:$G$11,2,0))*Constants!$B$2,2)</f>
        <v/>
      </c>
      <c r="I72" s="3">
        <f>ROUND((F72+D72*VLOOKUP(C72,Constants!$A$6:$G$11,3,0))*Constants!$B$2,2)</f>
        <v/>
      </c>
      <c r="J72" s="3">
        <f>ROUND((G72+D72*VLOOKUP(C72,Constants!$A$6:$G$11,4,0))*Constants!$B$2,2)</f>
        <v/>
      </c>
      <c r="K72" s="3">
        <f>ROUND((E72+D72*VLOOKUP(C72,Constants!$A$6:$G$11,5,0))*Constants!$B$1,2)</f>
        <v/>
      </c>
      <c r="L72" s="3">
        <f>ROUND((F72+D72*VLOOKUP(C72,Constants!$A$6:$G$11,6,0))*Constants!$B$1,2)</f>
        <v/>
      </c>
      <c r="M72" s="3">
        <f>ROUND((G72+D72*VLOOKUP(C72,Constants!$A$6:$G$11,7,0))*Constants!$B$1,2)</f>
        <v/>
      </c>
    </row>
    <row r="73">
      <c r="A73" s="2" t="inlineStr">
        <is>
          <t>Apparel_VacsuitChildren</t>
        </is>
      </c>
      <c r="B73" s="2" t="inlineStr">
        <is>
          <t>Fixed</t>
        </is>
      </c>
      <c r="C73" s="2" t="inlineStr">
        <is>
          <t>Fixed</t>
        </is>
      </c>
      <c r="D73" s="3" t="n">
        <v>0</v>
      </c>
      <c r="E73" s="3" t="n">
        <v>0.52</v>
      </c>
      <c r="F73" s="3" t="n">
        <v>0.2</v>
      </c>
      <c r="G73" s="3" t="n">
        <v>0.66</v>
      </c>
      <c r="H73" s="3">
        <f>ROUND((E73+D73*VLOOKUP(C73,Constants!$A$6:$G$11,2,0))*Constants!$B$2,2)</f>
        <v/>
      </c>
      <c r="I73" s="3">
        <f>ROUND((F73+D73*VLOOKUP(C73,Constants!$A$6:$G$11,3,0))*Constants!$B$2,2)</f>
        <v/>
      </c>
      <c r="J73" s="3">
        <f>ROUND((G73+D73*VLOOKUP(C73,Constants!$A$6:$G$11,4,0))*Constants!$B$2,2)</f>
        <v/>
      </c>
      <c r="K73" s="3">
        <f>ROUND((E73+D73*VLOOKUP(C73,Constants!$A$6:$G$11,5,0))*Constants!$B$1,2)</f>
        <v/>
      </c>
      <c r="L73" s="3">
        <f>ROUND((F73+D73*VLOOKUP(C73,Constants!$A$6:$G$11,6,0))*Constants!$B$1,2)</f>
        <v/>
      </c>
      <c r="M73" s="3">
        <f>ROUND((G73+D73*VLOOKUP(C73,Constants!$A$6:$G$11,7,0))*Constants!$B$1,2)</f>
        <v/>
      </c>
    </row>
  </sheetData>
  <autoFilter ref="A1:M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RK_Plate</t>
        </is>
      </c>
      <c r="B2" s="2" t="inlineStr">
        <is>
          <t>Metallic</t>
        </is>
      </c>
      <c r="C2" s="2" t="inlineStr">
        <is>
          <t>Metallic</t>
        </is>
      </c>
      <c r="D2" s="3" t="n">
        <v>0.63</v>
      </c>
      <c r="E2" s="3" t="n">
        <v>0.25</v>
      </c>
      <c r="F2" s="3" t="n">
        <v>0.3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RK_SantaRobe</t>
        </is>
      </c>
      <c r="B3" s="2" t="inlineStr">
        <is>
          <t>Fabric,Leathery</t>
        </is>
      </c>
      <c r="C3" s="2" t="inlineStr">
        <is>
          <t>Leathery</t>
        </is>
      </c>
      <c r="D3" s="3" t="n">
        <v>0.32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RK_SantaHat</t>
        </is>
      </c>
      <c r="B4" s="2" t="inlineStr">
        <is>
          <t>Fabric,Leathery</t>
        </is>
      </c>
      <c r="C4" s="2" t="inlineStr">
        <is>
          <t>Leathery</t>
        </is>
      </c>
      <c r="D4" s="3" t="n">
        <v>0</v>
      </c>
      <c r="E4" s="3" t="n">
        <v>0</v>
      </c>
      <c r="F4" s="3" t="n">
        <v>0</v>
      </c>
      <c r="G4" s="3" t="n">
        <v>0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RK_SantaSack</t>
        </is>
      </c>
      <c r="B5" s="2" t="inlineStr">
        <is>
          <t>Leathery,Fabric</t>
        </is>
      </c>
      <c r="C5" s="2" t="inlineStr">
        <is>
          <t>Leathery</t>
        </is>
      </c>
      <c r="D5" s="3" t="n">
        <v>0</v>
      </c>
      <c r="E5" s="3" t="n">
        <v>0</v>
      </c>
      <c r="F5" s="3" t="n">
        <v>0</v>
      </c>
      <c r="G5" s="3" t="n">
        <v>0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RK_WhiteCoat</t>
        </is>
      </c>
      <c r="B6" s="2" t="inlineStr">
        <is>
          <t>Fixed</t>
        </is>
      </c>
      <c r="C6" s="2" t="inlineStr">
        <is>
          <t>Fixed</t>
        </is>
      </c>
      <c r="D6" s="3" t="n">
        <v>0</v>
      </c>
      <c r="E6" s="3" t="n">
        <v>0.75</v>
      </c>
      <c r="F6" s="3" t="n">
        <v>0.35</v>
      </c>
      <c r="G6" s="3" t="n">
        <v>0.6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RK_Sack</t>
        </is>
      </c>
      <c r="B7" s="2" t="inlineStr">
        <is>
          <t>Leathery,Fabric</t>
        </is>
      </c>
      <c r="C7" s="2" t="inlineStr">
        <is>
          <t>Leathery</t>
        </is>
      </c>
      <c r="D7" s="3" t="n">
        <v>0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RK_RoyalRobe</t>
        </is>
      </c>
      <c r="B8" s="2" t="inlineStr">
        <is>
          <t>Fabric,Leathery</t>
        </is>
      </c>
      <c r="C8" s="2" t="inlineStr">
        <is>
          <t>Leathery</t>
        </is>
      </c>
      <c r="D8" s="3" t="n">
        <v>0.36</v>
      </c>
      <c r="E8" s="3" t="n">
        <v>0</v>
      </c>
      <c r="F8" s="3" t="n">
        <v>0</v>
      </c>
      <c r="G8" s="3" t="n">
        <v>0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RK_RoyalCrown</t>
        </is>
      </c>
      <c r="B9" s="2" t="inlineStr">
        <is>
          <t>Metallic</t>
        </is>
      </c>
      <c r="C9" s="2" t="inlineStr">
        <is>
          <t>Metallic</t>
        </is>
      </c>
      <c r="D9" s="3" t="n">
        <v>0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RK_Apparel_Vacsuit</t>
        </is>
      </c>
      <c r="B10" s="2" t="inlineStr">
        <is>
          <t>Fixed</t>
        </is>
      </c>
      <c r="C10" s="2" t="inlineStr">
        <is>
          <t>Fixed</t>
        </is>
      </c>
      <c r="D10" s="3" t="n">
        <v>0</v>
      </c>
      <c r="E10" s="3" t="n">
        <v>0.52</v>
      </c>
      <c r="F10" s="3" t="n">
        <v>0.25</v>
      </c>
      <c r="G10" s="3" t="n">
        <v>0.66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RK_Apparel_VacsuitChildren</t>
        </is>
      </c>
      <c r="B11" s="2" t="inlineStr">
        <is>
          <t>Fixed</t>
        </is>
      </c>
      <c r="C11" s="2" t="inlineStr">
        <is>
          <t>Fixed</t>
        </is>
      </c>
      <c r="D11" s="3" t="n">
        <v>0</v>
      </c>
      <c r="E11" s="3" t="n">
        <v>0.52</v>
      </c>
      <c r="F11" s="3" t="n">
        <v>0.2</v>
      </c>
      <c r="G11" s="3" t="n">
        <v>0.66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RK_Apparel_SpaceArmor</t>
        </is>
      </c>
      <c r="B12" s="2" t="inlineStr">
        <is>
          <t>Fixed</t>
        </is>
      </c>
      <c r="C12" s="2" t="inlineStr">
        <is>
          <t>Fixed</t>
        </is>
      </c>
      <c r="D12" s="3" t="n">
        <v>0</v>
      </c>
      <c r="E12" s="3" t="n">
        <v>1</v>
      </c>
      <c r="F12" s="3" t="n">
        <v>0.5</v>
      </c>
      <c r="G12" s="3" t="n">
        <v>1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RK_CrossBack</t>
        </is>
      </c>
      <c r="B13" s="2" t="inlineStr">
        <is>
          <t>Fabric,Leathery</t>
        </is>
      </c>
      <c r="C13" s="2" t="inlineStr">
        <is>
          <t>Leathery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RK_Backpack</t>
        </is>
      </c>
      <c r="B14" s="2" t="inlineStr">
        <is>
          <t>Fabric,Leathery</t>
        </is>
      </c>
      <c r="C14" s="2" t="inlineStr">
        <is>
          <t>Leathery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  <row r="15">
      <c r="A15" s="2" t="inlineStr">
        <is>
          <t>RK_OutdoorBackpack</t>
        </is>
      </c>
      <c r="B15" s="2" t="inlineStr">
        <is>
          <t>Fabric,Leathery</t>
        </is>
      </c>
      <c r="C15" s="2" t="inlineStr">
        <is>
          <t>Leathery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>
        <f>ROUND((E15+D15*VLOOKUP(C15,Constants!$A$6:$G$11,2,0))*Constants!$B$2,2)</f>
        <v/>
      </c>
      <c r="I15" s="3">
        <f>ROUND((F15+D15*VLOOKUP(C15,Constants!$A$6:$G$11,3,0))*Constants!$B$2,2)</f>
        <v/>
      </c>
      <c r="J15" s="3">
        <f>ROUND((G15+D15*VLOOKUP(C15,Constants!$A$6:$G$11,4,0))*Constants!$B$2,2)</f>
        <v/>
      </c>
      <c r="K15" s="3">
        <f>ROUND((E15+D15*VLOOKUP(C15,Constants!$A$6:$G$11,5,0))*Constants!$B$1,2)</f>
        <v/>
      </c>
      <c r="L15" s="3">
        <f>ROUND((F15+D15*VLOOKUP(C15,Constants!$A$6:$G$11,6,0))*Constants!$B$1,2)</f>
        <v/>
      </c>
      <c r="M15" s="3">
        <f>ROUND((G15+D15*VLOOKUP(C15,Constants!$A$6:$G$11,7,0))*Constants!$B$1,2)</f>
        <v/>
      </c>
    </row>
    <row r="16">
      <c r="A16" s="2" t="inlineStr">
        <is>
          <t>RK_ApronSkirt</t>
        </is>
      </c>
      <c r="B16" s="2" t="inlineStr">
        <is>
          <t>Fabric,Leathery</t>
        </is>
      </c>
      <c r="C16" s="2" t="inlineStr">
        <is>
          <t>Leathery</t>
        </is>
      </c>
      <c r="D16" s="3" t="n">
        <v>0.15</v>
      </c>
      <c r="E16" s="3" t="n">
        <v>0</v>
      </c>
      <c r="F16" s="3" t="n">
        <v>0</v>
      </c>
      <c r="G16" s="3" t="n">
        <v>0</v>
      </c>
      <c r="H16" s="3">
        <f>ROUND((E16+D16*VLOOKUP(C16,Constants!$A$6:$G$11,2,0))*Constants!$B$2,2)</f>
        <v/>
      </c>
      <c r="I16" s="3">
        <f>ROUND((F16+D16*VLOOKUP(C16,Constants!$A$6:$G$11,3,0))*Constants!$B$2,2)</f>
        <v/>
      </c>
      <c r="J16" s="3">
        <f>ROUND((G16+D16*VLOOKUP(C16,Constants!$A$6:$G$11,4,0))*Constants!$B$2,2)</f>
        <v/>
      </c>
      <c r="K16" s="3">
        <f>ROUND((E16+D16*VLOOKUP(C16,Constants!$A$6:$G$11,5,0))*Constants!$B$1,2)</f>
        <v/>
      </c>
      <c r="L16" s="3">
        <f>ROUND((F16+D16*VLOOKUP(C16,Constants!$A$6:$G$11,6,0))*Constants!$B$1,2)</f>
        <v/>
      </c>
      <c r="M16" s="3">
        <f>ROUND((G16+D16*VLOOKUP(C16,Constants!$A$6:$G$11,7,0))*Constants!$B$1,2)</f>
        <v/>
      </c>
    </row>
    <row r="17">
      <c r="A17" s="2" t="inlineStr">
        <is>
          <t>RK_ApronSkirtChildren</t>
        </is>
      </c>
      <c r="B17" s="2" t="inlineStr">
        <is>
          <t>Fabric,Leathery</t>
        </is>
      </c>
      <c r="C17" s="2" t="inlineStr">
        <is>
          <t>Leathery</t>
        </is>
      </c>
      <c r="D17" s="3" t="n">
        <v>0.15</v>
      </c>
      <c r="E17" s="3" t="n">
        <v>0</v>
      </c>
      <c r="F17" s="3" t="n">
        <v>0</v>
      </c>
      <c r="G17" s="3" t="n">
        <v>0</v>
      </c>
      <c r="H17" s="3">
        <f>ROUND((E17+D17*VLOOKUP(C17,Constants!$A$6:$G$11,2,0))*Constants!$B$2,2)</f>
        <v/>
      </c>
      <c r="I17" s="3">
        <f>ROUND((F17+D17*VLOOKUP(C17,Constants!$A$6:$G$11,3,0))*Constants!$B$2,2)</f>
        <v/>
      </c>
      <c r="J17" s="3">
        <f>ROUND((G17+D17*VLOOKUP(C17,Constants!$A$6:$G$11,4,0))*Constants!$B$2,2)</f>
        <v/>
      </c>
      <c r="K17" s="3">
        <f>ROUND((E17+D17*VLOOKUP(C17,Constants!$A$6:$G$11,5,0))*Constants!$B$1,2)</f>
        <v/>
      </c>
      <c r="L17" s="3">
        <f>ROUND((F17+D17*VLOOKUP(C17,Constants!$A$6:$G$11,6,0))*Constants!$B$1,2)</f>
        <v/>
      </c>
      <c r="M17" s="3">
        <f>ROUND((G17+D17*VLOOKUP(C17,Constants!$A$6:$G$11,7,0))*Constants!$B$1,2)</f>
        <v/>
      </c>
    </row>
    <row r="18">
      <c r="A18" s="2" t="inlineStr">
        <is>
          <t>RK_SummerDress</t>
        </is>
      </c>
      <c r="B18" s="2" t="inlineStr">
        <is>
          <t>Fabric,Leathery</t>
        </is>
      </c>
      <c r="C18" s="2" t="inlineStr">
        <is>
          <t>Leathery</t>
        </is>
      </c>
      <c r="D18" s="3" t="n">
        <v>0.1</v>
      </c>
      <c r="E18" s="3" t="n">
        <v>0</v>
      </c>
      <c r="F18" s="3" t="n">
        <v>0</v>
      </c>
      <c r="G18" s="3" t="n">
        <v>0</v>
      </c>
      <c r="H18" s="3">
        <f>ROUND((E18+D18*VLOOKUP(C18,Constants!$A$6:$G$11,2,0))*Constants!$B$2,2)</f>
        <v/>
      </c>
      <c r="I18" s="3">
        <f>ROUND((F18+D18*VLOOKUP(C18,Constants!$A$6:$G$11,3,0))*Constants!$B$2,2)</f>
        <v/>
      </c>
      <c r="J18" s="3">
        <f>ROUND((G18+D18*VLOOKUP(C18,Constants!$A$6:$G$11,4,0))*Constants!$B$2,2)</f>
        <v/>
      </c>
      <c r="K18" s="3">
        <f>ROUND((E18+D18*VLOOKUP(C18,Constants!$A$6:$G$11,5,0))*Constants!$B$1,2)</f>
        <v/>
      </c>
      <c r="L18" s="3">
        <f>ROUND((F18+D18*VLOOKUP(C18,Constants!$A$6:$G$11,6,0))*Constants!$B$1,2)</f>
        <v/>
      </c>
      <c r="M18" s="3">
        <f>ROUND((G18+D18*VLOOKUP(C18,Constants!$A$6:$G$11,7,0))*Constants!$B$1,2)</f>
        <v/>
      </c>
    </row>
    <row r="19">
      <c r="A19" s="2" t="inlineStr">
        <is>
          <t>RK_StrawHat</t>
        </is>
      </c>
      <c r="B19" s="2" t="inlineStr">
        <is>
          <t>Fixed</t>
        </is>
      </c>
      <c r="C19" s="2" t="inlineStr">
        <is>
          <t>Fixed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>
        <f>ROUND((E19+D19*VLOOKUP(C19,Constants!$A$6:$G$11,2,0))*Constants!$B$2,2)</f>
        <v/>
      </c>
      <c r="I19" s="3">
        <f>ROUND((F19+D19*VLOOKUP(C19,Constants!$A$6:$G$11,3,0))*Constants!$B$2,2)</f>
        <v/>
      </c>
      <c r="J19" s="3">
        <f>ROUND((G19+D19*VLOOKUP(C19,Constants!$A$6:$G$11,4,0))*Constants!$B$2,2)</f>
        <v/>
      </c>
      <c r="K19" s="3">
        <f>ROUND((E19+D19*VLOOKUP(C19,Constants!$A$6:$G$11,5,0))*Constants!$B$1,2)</f>
        <v/>
      </c>
      <c r="L19" s="3">
        <f>ROUND((F19+D19*VLOOKUP(C19,Constants!$A$6:$G$11,6,0))*Constants!$B$1,2)</f>
        <v/>
      </c>
      <c r="M19" s="3">
        <f>ROUND((G19+D19*VLOOKUP(C19,Constants!$A$6:$G$11,7,0))*Constants!$B$1,2)</f>
        <v/>
      </c>
    </row>
    <row r="20">
      <c r="A20" s="2" t="inlineStr">
        <is>
          <t>RK_Muffler</t>
        </is>
      </c>
      <c r="B20" s="2" t="inlineStr">
        <is>
          <t>Fabric,Leathery</t>
        </is>
      </c>
      <c r="C20" s="2" t="inlineStr">
        <is>
          <t>Leathery</t>
        </is>
      </c>
      <c r="D20" s="3" t="n">
        <v>0.1</v>
      </c>
      <c r="E20" s="3" t="n">
        <v>0</v>
      </c>
      <c r="F20" s="3" t="n">
        <v>0</v>
      </c>
      <c r="G20" s="3" t="n">
        <v>0</v>
      </c>
      <c r="H20" s="3">
        <f>ROUND((E20+D20*VLOOKUP(C20,Constants!$A$6:$G$11,2,0))*Constants!$B$2,2)</f>
        <v/>
      </c>
      <c r="I20" s="3">
        <f>ROUND((F20+D20*VLOOKUP(C20,Constants!$A$6:$G$11,3,0))*Constants!$B$2,2)</f>
        <v/>
      </c>
      <c r="J20" s="3">
        <f>ROUND((G20+D20*VLOOKUP(C20,Constants!$A$6:$G$11,4,0))*Constants!$B$2,2)</f>
        <v/>
      </c>
      <c r="K20" s="3">
        <f>ROUND((E20+D20*VLOOKUP(C20,Constants!$A$6:$G$11,5,0))*Constants!$B$1,2)</f>
        <v/>
      </c>
      <c r="L20" s="3">
        <f>ROUND((F20+D20*VLOOKUP(C20,Constants!$A$6:$G$11,6,0))*Constants!$B$1,2)</f>
        <v/>
      </c>
      <c r="M20" s="3">
        <f>ROUND((G20+D20*VLOOKUP(C20,Constants!$A$6:$G$11,7,0))*Constants!$B$1,2)</f>
        <v/>
      </c>
    </row>
    <row r="21">
      <c r="A21" s="2" t="inlineStr">
        <is>
          <t>RK_Cardigan</t>
        </is>
      </c>
      <c r="B21" s="2" t="inlineStr">
        <is>
          <t>Fabric,Leathery</t>
        </is>
      </c>
      <c r="C21" s="2" t="inlineStr">
        <is>
          <t>Leathery</t>
        </is>
      </c>
      <c r="D21" s="3" t="n">
        <v>0.15</v>
      </c>
      <c r="E21" s="3" t="n">
        <v>0</v>
      </c>
      <c r="F21" s="3" t="n">
        <v>0</v>
      </c>
      <c r="G21" s="3" t="n">
        <v>0</v>
      </c>
      <c r="H21" s="3">
        <f>ROUND((E21+D21*VLOOKUP(C21,Constants!$A$6:$G$11,2,0))*Constants!$B$2,2)</f>
        <v/>
      </c>
      <c r="I21" s="3">
        <f>ROUND((F21+D21*VLOOKUP(C21,Constants!$A$6:$G$11,3,0))*Constants!$B$2,2)</f>
        <v/>
      </c>
      <c r="J21" s="3">
        <f>ROUND((G21+D21*VLOOKUP(C21,Constants!$A$6:$G$11,4,0))*Constants!$B$2,2)</f>
        <v/>
      </c>
      <c r="K21" s="3">
        <f>ROUND((E21+D21*VLOOKUP(C21,Constants!$A$6:$G$11,5,0))*Constants!$B$1,2)</f>
        <v/>
      </c>
      <c r="L21" s="3">
        <f>ROUND((F21+D21*VLOOKUP(C21,Constants!$A$6:$G$11,6,0))*Constants!$B$1,2)</f>
        <v/>
      </c>
      <c r="M21" s="3">
        <f>ROUND((G21+D21*VLOOKUP(C21,Constants!$A$6:$G$11,7,0))*Constants!$B$1,2)</f>
        <v/>
      </c>
    </row>
    <row r="22">
      <c r="A22" s="2" t="inlineStr">
        <is>
          <t>RK_WoolenHat</t>
        </is>
      </c>
      <c r="B22" s="2" t="inlineStr">
        <is>
          <t>Fabric,Leathery</t>
        </is>
      </c>
      <c r="C22" s="2" t="inlineStr">
        <is>
          <t>Leathery</t>
        </is>
      </c>
      <c r="D22" s="3" t="n">
        <v>0.1</v>
      </c>
      <c r="E22" s="3" t="n">
        <v>0</v>
      </c>
      <c r="F22" s="3" t="n">
        <v>0</v>
      </c>
      <c r="G22" s="3" t="n">
        <v>0</v>
      </c>
      <c r="H22" s="3">
        <f>ROUND((E22+D22*VLOOKUP(C22,Constants!$A$6:$G$11,2,0))*Constants!$B$2,2)</f>
        <v/>
      </c>
      <c r="I22" s="3">
        <f>ROUND((F22+D22*VLOOKUP(C22,Constants!$A$6:$G$11,3,0))*Constants!$B$2,2)</f>
        <v/>
      </c>
      <c r="J22" s="3">
        <f>ROUND((G22+D22*VLOOKUP(C22,Constants!$A$6:$G$11,4,0))*Constants!$B$2,2)</f>
        <v/>
      </c>
      <c r="K22" s="3">
        <f>ROUND((E22+D22*VLOOKUP(C22,Constants!$A$6:$G$11,5,0))*Constants!$B$1,2)</f>
        <v/>
      </c>
      <c r="L22" s="3">
        <f>ROUND((F22+D22*VLOOKUP(C22,Constants!$A$6:$G$11,6,0))*Constants!$B$1,2)</f>
        <v/>
      </c>
      <c r="M22" s="3">
        <f>ROUND((G22+D22*VLOOKUP(C22,Constants!$A$6:$G$11,7,0))*Constants!$B$1,2)</f>
        <v/>
      </c>
    </row>
    <row r="23">
      <c r="A23" s="2" t="inlineStr">
        <is>
          <t>RK_WorkerWear</t>
        </is>
      </c>
      <c r="B23" s="2" t="inlineStr">
        <is>
          <t>Fabric,Leathery</t>
        </is>
      </c>
      <c r="C23" s="2" t="inlineStr">
        <is>
          <t>Leathery</t>
        </is>
      </c>
      <c r="D23" s="3" t="n">
        <v>0.2</v>
      </c>
      <c r="E23" s="3" t="n">
        <v>0</v>
      </c>
      <c r="F23" s="3" t="n">
        <v>0</v>
      </c>
      <c r="G23" s="3" t="n">
        <v>0</v>
      </c>
      <c r="H23" s="3">
        <f>ROUND((E23+D23*VLOOKUP(C23,Constants!$A$6:$G$11,2,0))*Constants!$B$2,2)</f>
        <v/>
      </c>
      <c r="I23" s="3">
        <f>ROUND((F23+D23*VLOOKUP(C23,Constants!$A$6:$G$11,3,0))*Constants!$B$2,2)</f>
        <v/>
      </c>
      <c r="J23" s="3">
        <f>ROUND((G23+D23*VLOOKUP(C23,Constants!$A$6:$G$11,4,0))*Constants!$B$2,2)</f>
        <v/>
      </c>
      <c r="K23" s="3">
        <f>ROUND((E23+D23*VLOOKUP(C23,Constants!$A$6:$G$11,5,0))*Constants!$B$1,2)</f>
        <v/>
      </c>
      <c r="L23" s="3">
        <f>ROUND((F23+D23*VLOOKUP(C23,Constants!$A$6:$G$11,6,0))*Constants!$B$1,2)</f>
        <v/>
      </c>
      <c r="M23" s="3">
        <f>ROUND((G23+D23*VLOOKUP(C23,Constants!$A$6:$G$11,7,0))*Constants!$B$1,2)</f>
        <v/>
      </c>
    </row>
    <row r="24">
      <c r="A24" s="2" t="inlineStr">
        <is>
          <t>RK_Coif</t>
        </is>
      </c>
      <c r="B24" s="2" t="inlineStr">
        <is>
          <t>Fabric,Leathery</t>
        </is>
      </c>
      <c r="C24" s="2" t="inlineStr">
        <is>
          <t>Leathery</t>
        </is>
      </c>
      <c r="D24" s="3" t="n">
        <v>0.1</v>
      </c>
      <c r="E24" s="3" t="n">
        <v>0</v>
      </c>
      <c r="F24" s="3" t="n">
        <v>0</v>
      </c>
      <c r="G24" s="3" t="n">
        <v>0</v>
      </c>
      <c r="H24" s="3">
        <f>ROUND((E24+D24*VLOOKUP(C24,Constants!$A$6:$G$11,2,0))*Constants!$B$2,2)</f>
        <v/>
      </c>
      <c r="I24" s="3">
        <f>ROUND((F24+D24*VLOOKUP(C24,Constants!$A$6:$G$11,3,0))*Constants!$B$2,2)</f>
        <v/>
      </c>
      <c r="J24" s="3">
        <f>ROUND((G24+D24*VLOOKUP(C24,Constants!$A$6:$G$11,4,0))*Constants!$B$2,2)</f>
        <v/>
      </c>
      <c r="K24" s="3">
        <f>ROUND((E24+D24*VLOOKUP(C24,Constants!$A$6:$G$11,5,0))*Constants!$B$1,2)</f>
        <v/>
      </c>
      <c r="L24" s="3">
        <f>ROUND((F24+D24*VLOOKUP(C24,Constants!$A$6:$G$11,6,0))*Constants!$B$1,2)</f>
        <v/>
      </c>
      <c r="M24" s="3">
        <f>ROUND((G24+D24*VLOOKUP(C24,Constants!$A$6:$G$11,7,0))*Constants!$B$1,2)</f>
        <v/>
      </c>
    </row>
    <row r="25">
      <c r="A25" s="2" t="inlineStr">
        <is>
          <t>RK_ResearchGown</t>
        </is>
      </c>
      <c r="B25" s="2" t="inlineStr">
        <is>
          <t>Fabric,Leathery</t>
        </is>
      </c>
      <c r="C25" s="2" t="inlineStr">
        <is>
          <t>Leathery</t>
        </is>
      </c>
      <c r="D25" s="3" t="n">
        <v>0.15</v>
      </c>
      <c r="E25" s="3" t="n">
        <v>0</v>
      </c>
      <c r="F25" s="3" t="n">
        <v>0</v>
      </c>
      <c r="G25" s="3" t="n">
        <v>0</v>
      </c>
      <c r="H25" s="3">
        <f>ROUND((E25+D25*VLOOKUP(C25,Constants!$A$6:$G$11,2,0))*Constants!$B$2,2)</f>
        <v/>
      </c>
      <c r="I25" s="3">
        <f>ROUND((F25+D25*VLOOKUP(C25,Constants!$A$6:$G$11,3,0))*Constants!$B$2,2)</f>
        <v/>
      </c>
      <c r="J25" s="3">
        <f>ROUND((G25+D25*VLOOKUP(C25,Constants!$A$6:$G$11,4,0))*Constants!$B$2,2)</f>
        <v/>
      </c>
      <c r="K25" s="3">
        <f>ROUND((E25+D25*VLOOKUP(C25,Constants!$A$6:$G$11,5,0))*Constants!$B$1,2)</f>
        <v/>
      </c>
      <c r="L25" s="3">
        <f>ROUND((F25+D25*VLOOKUP(C25,Constants!$A$6:$G$11,6,0))*Constants!$B$1,2)</f>
        <v/>
      </c>
      <c r="M25" s="3">
        <f>ROUND((G25+D25*VLOOKUP(C25,Constants!$A$6:$G$11,7,0))*Constants!$B$1,2)</f>
        <v/>
      </c>
    </row>
    <row r="26">
      <c r="A26" s="2" t="inlineStr">
        <is>
          <t>RK_ResearchGlasses</t>
        </is>
      </c>
      <c r="B26" s="2" t="inlineStr">
        <is>
          <t>Fixed</t>
        </is>
      </c>
      <c r="C26" s="2" t="inlineStr">
        <is>
          <t>Fixed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>
        <f>ROUND((E26+D26*VLOOKUP(C26,Constants!$A$6:$G$11,2,0))*Constants!$B$2,2)</f>
        <v/>
      </c>
      <c r="I26" s="3">
        <f>ROUND((F26+D26*VLOOKUP(C26,Constants!$A$6:$G$11,3,0))*Constants!$B$2,2)</f>
        <v/>
      </c>
      <c r="J26" s="3">
        <f>ROUND((G26+D26*VLOOKUP(C26,Constants!$A$6:$G$11,4,0))*Constants!$B$2,2)</f>
        <v/>
      </c>
      <c r="K26" s="3">
        <f>ROUND((E26+D26*VLOOKUP(C26,Constants!$A$6:$G$11,5,0))*Constants!$B$1,2)</f>
        <v/>
      </c>
      <c r="L26" s="3">
        <f>ROUND((F26+D26*VLOOKUP(C26,Constants!$A$6:$G$11,6,0))*Constants!$B$1,2)</f>
        <v/>
      </c>
      <c r="M26" s="3">
        <f>ROUND((G26+D26*VLOOKUP(C26,Constants!$A$6:$G$11,7,0))*Constants!$B$1,2)</f>
        <v/>
      </c>
    </row>
    <row r="27">
      <c r="A27" s="2" t="inlineStr">
        <is>
          <t>RK_ExplorerWear</t>
        </is>
      </c>
      <c r="B27" s="2" t="inlineStr">
        <is>
          <t>Fabric,Leathery</t>
        </is>
      </c>
      <c r="C27" s="2" t="inlineStr">
        <is>
          <t>Leathery</t>
        </is>
      </c>
      <c r="D27" s="3" t="n">
        <v>0.2</v>
      </c>
      <c r="E27" s="3" t="n">
        <v>0</v>
      </c>
      <c r="F27" s="3" t="n">
        <v>0</v>
      </c>
      <c r="G27" s="3" t="n">
        <v>0</v>
      </c>
      <c r="H27" s="3">
        <f>ROUND((E27+D27*VLOOKUP(C27,Constants!$A$6:$G$11,2,0))*Constants!$B$2,2)</f>
        <v/>
      </c>
      <c r="I27" s="3">
        <f>ROUND((F27+D27*VLOOKUP(C27,Constants!$A$6:$G$11,3,0))*Constants!$B$2,2)</f>
        <v/>
      </c>
      <c r="J27" s="3">
        <f>ROUND((G27+D27*VLOOKUP(C27,Constants!$A$6:$G$11,4,0))*Constants!$B$2,2)</f>
        <v/>
      </c>
      <c r="K27" s="3">
        <f>ROUND((E27+D27*VLOOKUP(C27,Constants!$A$6:$G$11,5,0))*Constants!$B$1,2)</f>
        <v/>
      </c>
      <c r="L27" s="3">
        <f>ROUND((F27+D27*VLOOKUP(C27,Constants!$A$6:$G$11,6,0))*Constants!$B$1,2)</f>
        <v/>
      </c>
      <c r="M27" s="3">
        <f>ROUND((G27+D27*VLOOKUP(C27,Constants!$A$6:$G$11,7,0))*Constants!$B$1,2)</f>
        <v/>
      </c>
    </row>
    <row r="28">
      <c r="A28" s="2" t="inlineStr">
        <is>
          <t>RK_ExplorerHat</t>
        </is>
      </c>
      <c r="B28" s="2" t="inlineStr">
        <is>
          <t>Fabric,Leathery</t>
        </is>
      </c>
      <c r="C28" s="2" t="inlineStr">
        <is>
          <t>Leathery</t>
        </is>
      </c>
      <c r="D28" s="3" t="n">
        <v>0.15</v>
      </c>
      <c r="E28" s="3" t="n">
        <v>0</v>
      </c>
      <c r="F28" s="3" t="n">
        <v>0</v>
      </c>
      <c r="G28" s="3" t="n">
        <v>0</v>
      </c>
      <c r="H28" s="3">
        <f>ROUND((E28+D28*VLOOKUP(C28,Constants!$A$6:$G$11,2,0))*Constants!$B$2,2)</f>
        <v/>
      </c>
      <c r="I28" s="3">
        <f>ROUND((F28+D28*VLOOKUP(C28,Constants!$A$6:$G$11,3,0))*Constants!$B$2,2)</f>
        <v/>
      </c>
      <c r="J28" s="3">
        <f>ROUND((G28+D28*VLOOKUP(C28,Constants!$A$6:$G$11,4,0))*Constants!$B$2,2)</f>
        <v/>
      </c>
      <c r="K28" s="3">
        <f>ROUND((E28+D28*VLOOKUP(C28,Constants!$A$6:$G$11,5,0))*Constants!$B$1,2)</f>
        <v/>
      </c>
      <c r="L28" s="3">
        <f>ROUND((F28+D28*VLOOKUP(C28,Constants!$A$6:$G$11,6,0))*Constants!$B$1,2)</f>
        <v/>
      </c>
      <c r="M28" s="3">
        <f>ROUND((G28+D28*VLOOKUP(C28,Constants!$A$6:$G$11,7,0))*Constants!$B$1,2)</f>
        <v/>
      </c>
    </row>
    <row r="29">
      <c r="A29" s="2" t="inlineStr">
        <is>
          <t>RK_ChefSuit</t>
        </is>
      </c>
      <c r="B29" s="2" t="inlineStr">
        <is>
          <t>Fabric,Leathery</t>
        </is>
      </c>
      <c r="C29" s="2" t="inlineStr">
        <is>
          <t>Leathery</t>
        </is>
      </c>
      <c r="D29" s="3" t="n">
        <v>0.15</v>
      </c>
      <c r="E29" s="3" t="n">
        <v>0</v>
      </c>
      <c r="F29" s="3" t="n">
        <v>0</v>
      </c>
      <c r="G29" s="3" t="n">
        <v>0</v>
      </c>
      <c r="H29" s="3">
        <f>ROUND((E29+D29*VLOOKUP(C29,Constants!$A$6:$G$11,2,0))*Constants!$B$2,2)</f>
        <v/>
      </c>
      <c r="I29" s="3">
        <f>ROUND((F29+D29*VLOOKUP(C29,Constants!$A$6:$G$11,3,0))*Constants!$B$2,2)</f>
        <v/>
      </c>
      <c r="J29" s="3">
        <f>ROUND((G29+D29*VLOOKUP(C29,Constants!$A$6:$G$11,4,0))*Constants!$B$2,2)</f>
        <v/>
      </c>
      <c r="K29" s="3">
        <f>ROUND((E29+D29*VLOOKUP(C29,Constants!$A$6:$G$11,5,0))*Constants!$B$1,2)</f>
        <v/>
      </c>
      <c r="L29" s="3">
        <f>ROUND((F29+D29*VLOOKUP(C29,Constants!$A$6:$G$11,6,0))*Constants!$B$1,2)</f>
        <v/>
      </c>
      <c r="M29" s="3">
        <f>ROUND((G29+D29*VLOOKUP(C29,Constants!$A$6:$G$11,7,0))*Constants!$B$1,2)</f>
        <v/>
      </c>
    </row>
    <row r="30">
      <c r="A30" s="2" t="inlineStr">
        <is>
          <t>RK_ChefHat</t>
        </is>
      </c>
      <c r="B30" s="2" t="inlineStr">
        <is>
          <t>Fabric,Leathery</t>
        </is>
      </c>
      <c r="C30" s="2" t="inlineStr">
        <is>
          <t>Leathery</t>
        </is>
      </c>
      <c r="D30" s="3" t="n">
        <v>0.15</v>
      </c>
      <c r="E30" s="3" t="n">
        <v>0</v>
      </c>
      <c r="F30" s="3" t="n">
        <v>0</v>
      </c>
      <c r="G30" s="3" t="n">
        <v>0</v>
      </c>
      <c r="H30" s="3">
        <f>ROUND((E30+D30*VLOOKUP(C30,Constants!$A$6:$G$11,2,0))*Constants!$B$2,2)</f>
        <v/>
      </c>
      <c r="I30" s="3">
        <f>ROUND((F30+D30*VLOOKUP(C30,Constants!$A$6:$G$11,3,0))*Constants!$B$2,2)</f>
        <v/>
      </c>
      <c r="J30" s="3">
        <f>ROUND((G30+D30*VLOOKUP(C30,Constants!$A$6:$G$11,4,0))*Constants!$B$2,2)</f>
        <v/>
      </c>
      <c r="K30" s="3">
        <f>ROUND((E30+D30*VLOOKUP(C30,Constants!$A$6:$G$11,5,0))*Constants!$B$1,2)</f>
        <v/>
      </c>
      <c r="L30" s="3">
        <f>ROUND((F30+D30*VLOOKUP(C30,Constants!$A$6:$G$11,6,0))*Constants!$B$1,2)</f>
        <v/>
      </c>
      <c r="M30" s="3">
        <f>ROUND((G30+D30*VLOOKUP(C30,Constants!$A$6:$G$11,7,0))*Constants!$B$1,2)</f>
        <v/>
      </c>
    </row>
    <row r="31">
      <c r="A31" s="2" t="inlineStr">
        <is>
          <t>RK_GaurdenUniform</t>
        </is>
      </c>
      <c r="B31" s="2" t="inlineStr">
        <is>
          <t>Fabric,Leathery</t>
        </is>
      </c>
      <c r="C31" s="2" t="inlineStr">
        <is>
          <t>Leathery</t>
        </is>
      </c>
      <c r="D31" s="3" t="n">
        <v>0.25</v>
      </c>
      <c r="E31" s="3" t="n">
        <v>0</v>
      </c>
      <c r="F31" s="3" t="n">
        <v>0.4</v>
      </c>
      <c r="G31" s="3" t="n">
        <v>0</v>
      </c>
      <c r="H31" s="3">
        <f>ROUND((E31+D31*VLOOKUP(C31,Constants!$A$6:$G$11,2,0))*Constants!$B$2,2)</f>
        <v/>
      </c>
      <c r="I31" s="3">
        <f>ROUND((F31+D31*VLOOKUP(C31,Constants!$A$6:$G$11,3,0))*Constants!$B$2,2)</f>
        <v/>
      </c>
      <c r="J31" s="3">
        <f>ROUND((G31+D31*VLOOKUP(C31,Constants!$A$6:$G$11,4,0))*Constants!$B$2,2)</f>
        <v/>
      </c>
      <c r="K31" s="3">
        <f>ROUND((E31+D31*VLOOKUP(C31,Constants!$A$6:$G$11,5,0))*Constants!$B$1,2)</f>
        <v/>
      </c>
      <c r="L31" s="3">
        <f>ROUND((F31+D31*VLOOKUP(C31,Constants!$A$6:$G$11,6,0))*Constants!$B$1,2)</f>
        <v/>
      </c>
      <c r="M31" s="3">
        <f>ROUND((G31+D31*VLOOKUP(C31,Constants!$A$6:$G$11,7,0))*Constants!$B$1,2)</f>
        <v/>
      </c>
    </row>
    <row r="32">
      <c r="A32" s="2" t="inlineStr">
        <is>
          <t>RK_WinterRobe</t>
        </is>
      </c>
      <c r="B32" s="2" t="inlineStr">
        <is>
          <t>Fabric,Leathery</t>
        </is>
      </c>
      <c r="C32" s="2" t="inlineStr">
        <is>
          <t>Leathery</t>
        </is>
      </c>
      <c r="D32" s="3" t="n">
        <v>0.32</v>
      </c>
      <c r="E32" s="3" t="n">
        <v>0</v>
      </c>
      <c r="F32" s="3" t="n">
        <v>0</v>
      </c>
      <c r="G32" s="3" t="n">
        <v>0</v>
      </c>
      <c r="H32" s="3">
        <f>ROUND((E32+D32*VLOOKUP(C32,Constants!$A$6:$G$11,2,0))*Constants!$B$2,2)</f>
        <v/>
      </c>
      <c r="I32" s="3">
        <f>ROUND((F32+D32*VLOOKUP(C32,Constants!$A$6:$G$11,3,0))*Constants!$B$2,2)</f>
        <v/>
      </c>
      <c r="J32" s="3">
        <f>ROUND((G32+D32*VLOOKUP(C32,Constants!$A$6:$G$11,4,0))*Constants!$B$2,2)</f>
        <v/>
      </c>
      <c r="K32" s="3">
        <f>ROUND((E32+D32*VLOOKUP(C32,Constants!$A$6:$G$11,5,0))*Constants!$B$1,2)</f>
        <v/>
      </c>
      <c r="L32" s="3">
        <f>ROUND((F32+D32*VLOOKUP(C32,Constants!$A$6:$G$11,6,0))*Constants!$B$1,2)</f>
        <v/>
      </c>
      <c r="M32" s="3">
        <f>ROUND((G32+D32*VLOOKUP(C32,Constants!$A$6:$G$11,7,0))*Constants!$B$1,2)</f>
        <v/>
      </c>
    </row>
    <row r="33">
      <c r="A33" s="2" t="inlineStr">
        <is>
          <t>RK_OrderUniform</t>
        </is>
      </c>
      <c r="B33" s="2" t="inlineStr">
        <is>
          <t>Fabric,Leathery</t>
        </is>
      </c>
      <c r="C33" s="2" t="inlineStr">
        <is>
          <t>Leathery</t>
        </is>
      </c>
      <c r="D33" s="3" t="n">
        <v>0.15</v>
      </c>
      <c r="E33" s="3" t="n">
        <v>0.8</v>
      </c>
      <c r="F33" s="3" t="n">
        <v>0.15</v>
      </c>
      <c r="G33" s="3" t="n">
        <v>0</v>
      </c>
      <c r="H33" s="3">
        <f>ROUND((E33+D33*VLOOKUP(C33,Constants!$A$6:$G$11,2,0))*Constants!$B$2,2)</f>
        <v/>
      </c>
      <c r="I33" s="3">
        <f>ROUND((F33+D33*VLOOKUP(C33,Constants!$A$6:$G$11,3,0))*Constants!$B$2,2)</f>
        <v/>
      </c>
      <c r="J33" s="3">
        <f>ROUND((G33+D33*VLOOKUP(C33,Constants!$A$6:$G$11,4,0))*Constants!$B$2,2)</f>
        <v/>
      </c>
      <c r="K33" s="3">
        <f>ROUND((E33+D33*VLOOKUP(C33,Constants!$A$6:$G$11,5,0))*Constants!$B$1,2)</f>
        <v/>
      </c>
      <c r="L33" s="3">
        <f>ROUND((F33+D33*VLOOKUP(C33,Constants!$A$6:$G$11,6,0))*Constants!$B$1,2)</f>
        <v/>
      </c>
      <c r="M33" s="3">
        <f>ROUND((G33+D33*VLOOKUP(C33,Constants!$A$6:$G$11,7,0))*Constants!$B$1,2)</f>
        <v/>
      </c>
    </row>
    <row r="34">
      <c r="A34" s="2" t="inlineStr">
        <is>
          <t>RK_FlatColorCoat</t>
        </is>
      </c>
      <c r="B34" s="2" t="inlineStr">
        <is>
          <t>Fabric,Leathery</t>
        </is>
      </c>
      <c r="C34" s="2" t="inlineStr">
        <is>
          <t>Leathery</t>
        </is>
      </c>
      <c r="D34" s="3" t="n">
        <v>0.15</v>
      </c>
      <c r="E34" s="3" t="n">
        <v>0</v>
      </c>
      <c r="F34" s="3" t="n">
        <v>0</v>
      </c>
      <c r="G34" s="3" t="n">
        <v>0</v>
      </c>
      <c r="H34" s="3">
        <f>ROUND((E34+D34*VLOOKUP(C34,Constants!$A$6:$G$11,2,0))*Constants!$B$2,2)</f>
        <v/>
      </c>
      <c r="I34" s="3">
        <f>ROUND((F34+D34*VLOOKUP(C34,Constants!$A$6:$G$11,3,0))*Constants!$B$2,2)</f>
        <v/>
      </c>
      <c r="J34" s="3">
        <f>ROUND((G34+D34*VLOOKUP(C34,Constants!$A$6:$G$11,4,0))*Constants!$B$2,2)</f>
        <v/>
      </c>
      <c r="K34" s="3">
        <f>ROUND((E34+D34*VLOOKUP(C34,Constants!$A$6:$G$11,5,0))*Constants!$B$1,2)</f>
        <v/>
      </c>
      <c r="L34" s="3">
        <f>ROUND((F34+D34*VLOOKUP(C34,Constants!$A$6:$G$11,6,0))*Constants!$B$1,2)</f>
        <v/>
      </c>
      <c r="M34" s="3">
        <f>ROUND((G34+D34*VLOOKUP(C34,Constants!$A$6:$G$11,7,0))*Constants!$B$1,2)</f>
        <v/>
      </c>
    </row>
    <row r="35">
      <c r="A35" s="2" t="inlineStr">
        <is>
          <t>RK_FrillOnepiece</t>
        </is>
      </c>
      <c r="B35" s="2" t="inlineStr">
        <is>
          <t>Fabric,Leathery</t>
        </is>
      </c>
      <c r="C35" s="2" t="inlineStr">
        <is>
          <t>Leathery</t>
        </is>
      </c>
      <c r="D35" s="3" t="n">
        <v>0.15</v>
      </c>
      <c r="E35" s="3" t="n">
        <v>0</v>
      </c>
      <c r="F35" s="3" t="n">
        <v>0</v>
      </c>
      <c r="G35" s="3" t="n">
        <v>0</v>
      </c>
      <c r="H35" s="3">
        <f>ROUND((E35+D35*VLOOKUP(C35,Constants!$A$6:$G$11,2,0))*Constants!$B$2,2)</f>
        <v/>
      </c>
      <c r="I35" s="3">
        <f>ROUND((F35+D35*VLOOKUP(C35,Constants!$A$6:$G$11,3,0))*Constants!$B$2,2)</f>
        <v/>
      </c>
      <c r="J35" s="3">
        <f>ROUND((G35+D35*VLOOKUP(C35,Constants!$A$6:$G$11,4,0))*Constants!$B$2,2)</f>
        <v/>
      </c>
      <c r="K35" s="3">
        <f>ROUND((E35+D35*VLOOKUP(C35,Constants!$A$6:$G$11,5,0))*Constants!$B$1,2)</f>
        <v/>
      </c>
      <c r="L35" s="3">
        <f>ROUND((F35+D35*VLOOKUP(C35,Constants!$A$6:$G$11,6,0))*Constants!$B$1,2)</f>
        <v/>
      </c>
      <c r="M35" s="3">
        <f>ROUND((G35+D35*VLOOKUP(C35,Constants!$A$6:$G$11,7,0))*Constants!$B$1,2)</f>
        <v/>
      </c>
    </row>
    <row r="36">
      <c r="A36" s="2" t="inlineStr">
        <is>
          <t>RK_HairCorsage</t>
        </is>
      </c>
      <c r="B36" s="2" t="inlineStr">
        <is>
          <t>Fabric</t>
        </is>
      </c>
      <c r="C36" s="2" t="inlineStr">
        <is>
          <t>Leathery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>
        <f>ROUND((E36+D36*VLOOKUP(C36,Constants!$A$6:$G$11,2,0))*Constants!$B$2,2)</f>
        <v/>
      </c>
      <c r="I36" s="3">
        <f>ROUND((F36+D36*VLOOKUP(C36,Constants!$A$6:$G$11,3,0))*Constants!$B$2,2)</f>
        <v/>
      </c>
      <c r="J36" s="3">
        <f>ROUND((G36+D36*VLOOKUP(C36,Constants!$A$6:$G$11,4,0))*Constants!$B$2,2)</f>
        <v/>
      </c>
      <c r="K36" s="3">
        <f>ROUND((E36+D36*VLOOKUP(C36,Constants!$A$6:$G$11,5,0))*Constants!$B$1,2)</f>
        <v/>
      </c>
      <c r="L36" s="3">
        <f>ROUND((F36+D36*VLOOKUP(C36,Constants!$A$6:$G$11,6,0))*Constants!$B$1,2)</f>
        <v/>
      </c>
      <c r="M36" s="3">
        <f>ROUND((G36+D36*VLOOKUP(C36,Constants!$A$6:$G$11,7,0))*Constants!$B$1,2)</f>
        <v/>
      </c>
    </row>
    <row r="37">
      <c r="A37" s="2" t="inlineStr">
        <is>
          <t>RK_RibbonHairBand</t>
        </is>
      </c>
      <c r="B37" s="2" t="inlineStr">
        <is>
          <t>Leathery</t>
        </is>
      </c>
      <c r="C37" s="2" t="inlineStr">
        <is>
          <t>Leathery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>
        <f>ROUND((E37+D37*VLOOKUP(C37,Constants!$A$6:$G$11,2,0))*Constants!$B$2,2)</f>
        <v/>
      </c>
      <c r="I37" s="3">
        <f>ROUND((F37+D37*VLOOKUP(C37,Constants!$A$6:$G$11,3,0))*Constants!$B$2,2)</f>
        <v/>
      </c>
      <c r="J37" s="3">
        <f>ROUND((G37+D37*VLOOKUP(C37,Constants!$A$6:$G$11,4,0))*Constants!$B$2,2)</f>
        <v/>
      </c>
      <c r="K37" s="3">
        <f>ROUND((E37+D37*VLOOKUP(C37,Constants!$A$6:$G$11,5,0))*Constants!$B$1,2)</f>
        <v/>
      </c>
      <c r="L37" s="3">
        <f>ROUND((F37+D37*VLOOKUP(C37,Constants!$A$6:$G$11,6,0))*Constants!$B$1,2)</f>
        <v/>
      </c>
      <c r="M37" s="3">
        <f>ROUND((G37+D37*VLOOKUP(C37,Constants!$A$6:$G$11,7,0))*Constants!$B$1,2)</f>
        <v/>
      </c>
    </row>
    <row r="38">
      <c r="A38" s="2" t="inlineStr">
        <is>
          <t>RK_SistersDerss</t>
        </is>
      </c>
      <c r="B38" s="2" t="inlineStr">
        <is>
          <t>Fabric,Leathery</t>
        </is>
      </c>
      <c r="C38" s="2" t="inlineStr">
        <is>
          <t>Leathery</t>
        </is>
      </c>
      <c r="D38" s="3" t="n">
        <v>0.15</v>
      </c>
      <c r="E38" s="3" t="n">
        <v>0</v>
      </c>
      <c r="F38" s="3" t="n">
        <v>0</v>
      </c>
      <c r="G38" s="3" t="n">
        <v>0</v>
      </c>
      <c r="H38" s="3">
        <f>ROUND((E38+D38*VLOOKUP(C38,Constants!$A$6:$G$11,2,0))*Constants!$B$2,2)</f>
        <v/>
      </c>
      <c r="I38" s="3">
        <f>ROUND((F38+D38*VLOOKUP(C38,Constants!$A$6:$G$11,3,0))*Constants!$B$2,2)</f>
        <v/>
      </c>
      <c r="J38" s="3">
        <f>ROUND((G38+D38*VLOOKUP(C38,Constants!$A$6:$G$11,4,0))*Constants!$B$2,2)</f>
        <v/>
      </c>
      <c r="K38" s="3">
        <f>ROUND((E38+D38*VLOOKUP(C38,Constants!$A$6:$G$11,5,0))*Constants!$B$1,2)</f>
        <v/>
      </c>
      <c r="L38" s="3">
        <f>ROUND((F38+D38*VLOOKUP(C38,Constants!$A$6:$G$11,6,0))*Constants!$B$1,2)</f>
        <v/>
      </c>
      <c r="M38" s="3">
        <f>ROUND((G38+D38*VLOOKUP(C38,Constants!$A$6:$G$11,7,0))*Constants!$B$1,2)</f>
        <v/>
      </c>
    </row>
    <row r="39">
      <c r="A39" s="2" t="inlineStr">
        <is>
          <t>RK_SistersVeil</t>
        </is>
      </c>
      <c r="B39" s="2" t="inlineStr">
        <is>
          <t>Leathery,Fabric</t>
        </is>
      </c>
      <c r="C39" s="2" t="inlineStr">
        <is>
          <t>Leathery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>
        <f>ROUND((E39+D39*VLOOKUP(C39,Constants!$A$6:$G$11,2,0))*Constants!$B$2,2)</f>
        <v/>
      </c>
      <c r="I39" s="3">
        <f>ROUND((F39+D39*VLOOKUP(C39,Constants!$A$6:$G$11,3,0))*Constants!$B$2,2)</f>
        <v/>
      </c>
      <c r="J39" s="3">
        <f>ROUND((G39+D39*VLOOKUP(C39,Constants!$A$6:$G$11,4,0))*Constants!$B$2,2)</f>
        <v/>
      </c>
      <c r="K39" s="3">
        <f>ROUND((E39+D39*VLOOKUP(C39,Constants!$A$6:$G$11,5,0))*Constants!$B$1,2)</f>
        <v/>
      </c>
      <c r="L39" s="3">
        <f>ROUND((F39+D39*VLOOKUP(C39,Constants!$A$6:$G$11,6,0))*Constants!$B$1,2)</f>
        <v/>
      </c>
      <c r="M39" s="3">
        <f>ROUND((G39+D39*VLOOKUP(C39,Constants!$A$6:$G$11,7,0))*Constants!$B$1,2)</f>
        <v/>
      </c>
    </row>
    <row r="40">
      <c r="A40" s="2" t="inlineStr">
        <is>
          <t>RK_BattleSuit</t>
        </is>
      </c>
      <c r="B40" s="2" t="inlineStr">
        <is>
          <t>Leathery</t>
        </is>
      </c>
      <c r="C40" s="2" t="inlineStr">
        <is>
          <t>Leathery</t>
        </is>
      </c>
      <c r="D40" s="3" t="n">
        <v>0.35</v>
      </c>
      <c r="E40" s="3" t="n">
        <v>0.45</v>
      </c>
      <c r="F40" s="3" t="n">
        <v>0.25</v>
      </c>
      <c r="G40" s="3" t="n">
        <v>0.6</v>
      </c>
      <c r="H40" s="3">
        <f>ROUND((E40+D40*VLOOKUP(C40,Constants!$A$6:$G$11,2,0))*Constants!$B$2,2)</f>
        <v/>
      </c>
      <c r="I40" s="3">
        <f>ROUND((F40+D40*VLOOKUP(C40,Constants!$A$6:$G$11,3,0))*Constants!$B$2,2)</f>
        <v/>
      </c>
      <c r="J40" s="3">
        <f>ROUND((G40+D40*VLOOKUP(C40,Constants!$A$6:$G$11,4,0))*Constants!$B$2,2)</f>
        <v/>
      </c>
      <c r="K40" s="3">
        <f>ROUND((E40+D40*VLOOKUP(C40,Constants!$A$6:$G$11,5,0))*Constants!$B$1,2)</f>
        <v/>
      </c>
      <c r="L40" s="3">
        <f>ROUND((F40+D40*VLOOKUP(C40,Constants!$A$6:$G$11,6,0))*Constants!$B$1,2)</f>
        <v/>
      </c>
      <c r="M40" s="3">
        <f>ROUND((G40+D40*VLOOKUP(C40,Constants!$A$6:$G$11,7,0))*Constants!$B$1,2)</f>
        <v/>
      </c>
    </row>
    <row r="41">
      <c r="A41" s="2" t="inlineStr">
        <is>
          <t>RK_HeadBand</t>
        </is>
      </c>
      <c r="B41" s="2" t="inlineStr">
        <is>
          <t>Fixed</t>
        </is>
      </c>
      <c r="C41" s="2" t="inlineStr">
        <is>
          <t>Fixed</t>
        </is>
      </c>
      <c r="D41" s="3" t="n">
        <v>0</v>
      </c>
      <c r="E41" s="3" t="n">
        <v>0</v>
      </c>
      <c r="F41" s="3" t="n">
        <v>0</v>
      </c>
      <c r="G41" s="3" t="n">
        <v>0.8</v>
      </c>
      <c r="H41" s="3">
        <f>ROUND((E41+D41*VLOOKUP(C41,Constants!$A$6:$G$11,2,0))*Constants!$B$2,2)</f>
        <v/>
      </c>
      <c r="I41" s="3">
        <f>ROUND((F41+D41*VLOOKUP(C41,Constants!$A$6:$G$11,3,0))*Constants!$B$2,2)</f>
        <v/>
      </c>
      <c r="J41" s="3">
        <f>ROUND((G41+D41*VLOOKUP(C41,Constants!$A$6:$G$11,4,0))*Constants!$B$2,2)</f>
        <v/>
      </c>
      <c r="K41" s="3">
        <f>ROUND((E41+D41*VLOOKUP(C41,Constants!$A$6:$G$11,5,0))*Constants!$B$1,2)</f>
        <v/>
      </c>
      <c r="L41" s="3">
        <f>ROUND((F41+D41*VLOOKUP(C41,Constants!$A$6:$G$11,6,0))*Constants!$B$1,2)</f>
        <v/>
      </c>
      <c r="M41" s="3">
        <f>ROUND((G41+D41*VLOOKUP(C41,Constants!$A$6:$G$11,7,0))*Constants!$B$1,2)</f>
        <v/>
      </c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Apparel_CowboyHat</t>
        </is>
      </c>
      <c r="B2" s="2" t="inlineStr">
        <is>
          <t>Fabric,Leathery</t>
        </is>
      </c>
      <c r="C2" s="2" t="inlineStr">
        <is>
          <t>Leathery</t>
        </is>
      </c>
      <c r="D2" s="3" t="n">
        <v>0.2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Apparel_BowlerHat</t>
        </is>
      </c>
      <c r="B3" s="2" t="inlineStr">
        <is>
          <t>Fabric,Leathery</t>
        </is>
      </c>
      <c r="C3" s="2" t="inlineStr">
        <is>
          <t>Leathery</t>
        </is>
      </c>
      <c r="D3" s="3" t="n">
        <v>0.2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Apparel_TribalHeaddress</t>
        </is>
      </c>
      <c r="B4" s="2" t="inlineStr">
        <is>
          <t>Fabric</t>
        </is>
      </c>
      <c r="C4" s="2" t="inlineStr">
        <is>
          <t>Leathery</t>
        </is>
      </c>
      <c r="D4" s="3" t="n">
        <v>0.2</v>
      </c>
      <c r="E4" s="3" t="n">
        <v>0</v>
      </c>
      <c r="F4" s="3" t="n">
        <v>0</v>
      </c>
      <c r="G4" s="3" t="n">
        <v>0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Apparel_Tuque</t>
        </is>
      </c>
      <c r="B5" s="2" t="inlineStr">
        <is>
          <t>Fabric</t>
        </is>
      </c>
      <c r="C5" s="2" t="inlineStr">
        <is>
          <t>Leathery</t>
        </is>
      </c>
      <c r="D5" s="3" t="n">
        <v>0.2</v>
      </c>
      <c r="E5" s="3" t="n">
        <v>0</v>
      </c>
      <c r="F5" s="3" t="n">
        <v>0</v>
      </c>
      <c r="G5" s="3" t="n">
        <v>0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Apparel_SimpleHelmet</t>
        </is>
      </c>
      <c r="B6" s="2" t="inlineStr">
        <is>
          <t>Metallic</t>
        </is>
      </c>
      <c r="C6" s="2" t="inlineStr">
        <is>
          <t>Metallic</t>
        </is>
      </c>
      <c r="D6" s="3" t="n">
        <v>0.5</v>
      </c>
      <c r="E6" s="3" t="n">
        <v>0</v>
      </c>
      <c r="F6" s="3" t="n">
        <v>0</v>
      </c>
      <c r="G6" s="3" t="n">
        <v>0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Apparel_AdvancedHelmet</t>
        </is>
      </c>
      <c r="B7" s="2" t="inlineStr">
        <is>
          <t>Metallic</t>
        </is>
      </c>
      <c r="C7" s="2" t="inlineStr">
        <is>
          <t>Metallic</t>
        </is>
      </c>
      <c r="D7" s="3" t="n">
        <v>0.7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Apparel_PsychicFoilHelmet</t>
        </is>
      </c>
      <c r="B8" s="2" t="inlineStr">
        <is>
          <t>Fixed</t>
        </is>
      </c>
      <c r="C8" s="2" t="inlineStr">
        <is>
          <t>Fixed</t>
        </is>
      </c>
      <c r="D8" s="3" t="n">
        <v>0</v>
      </c>
      <c r="E8" s="3" t="n">
        <v>0.09</v>
      </c>
      <c r="F8" s="3" t="n">
        <v>0.09</v>
      </c>
      <c r="G8" s="3" t="n">
        <v>0.27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Apparel_HatHood</t>
        </is>
      </c>
      <c r="B9" s="2" t="inlineStr">
        <is>
          <t>Fabric,Leathery</t>
        </is>
      </c>
      <c r="C9" s="2" t="inlineStr">
        <is>
          <t>Leathery</t>
        </is>
      </c>
      <c r="D9" s="3" t="n">
        <v>0.2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Apparel_ClothMask</t>
        </is>
      </c>
      <c r="B10" s="2" t="inlineStr">
        <is>
          <t>Fabric</t>
        </is>
      </c>
      <c r="C10" s="2" t="inlineStr">
        <is>
          <t>Leathery</t>
        </is>
      </c>
      <c r="D10" s="3" t="n">
        <v>0.2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Apparel_TribalA</t>
        </is>
      </c>
      <c r="B11" s="2" t="inlineStr">
        <is>
          <t>Fabric,Leathery</t>
        </is>
      </c>
      <c r="C11" s="2" t="inlineStr">
        <is>
          <t>Leathery</t>
        </is>
      </c>
      <c r="D11" s="3" t="n">
        <v>0.2</v>
      </c>
      <c r="E11" s="3" t="n">
        <v>0</v>
      </c>
      <c r="F11" s="3" t="n">
        <v>0</v>
      </c>
      <c r="G11" s="3" t="n">
        <v>0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Apparel_Parka</t>
        </is>
      </c>
      <c r="B12" s="2" t="inlineStr">
        <is>
          <t>Fabric,Leathery</t>
        </is>
      </c>
      <c r="C12" s="2" t="inlineStr">
        <is>
          <t>Leathery</t>
        </is>
      </c>
      <c r="D12" s="3" t="n">
        <v>0.2</v>
      </c>
      <c r="E12" s="3" t="n">
        <v>0</v>
      </c>
      <c r="F12" s="3" t="n">
        <v>0</v>
      </c>
      <c r="G12" s="3" t="n">
        <v>0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Apparel_Pants</t>
        </is>
      </c>
      <c r="B13" s="2" t="inlineStr">
        <is>
          <t>Fabric,Leathery</t>
        </is>
      </c>
      <c r="C13" s="2" t="inlineStr">
        <is>
          <t>Leathery</t>
        </is>
      </c>
      <c r="D13" s="3" t="n">
        <v>0.2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Apparel_BasicShirt</t>
        </is>
      </c>
      <c r="B14" s="2" t="inlineStr">
        <is>
          <t>Fabric,Leathery</t>
        </is>
      </c>
      <c r="C14" s="2" t="inlineStr">
        <is>
          <t>Leathery</t>
        </is>
      </c>
      <c r="D14" s="3" t="n">
        <v>0.2</v>
      </c>
      <c r="E14" s="3" t="n">
        <v>0</v>
      </c>
      <c r="F14" s="3" t="n">
        <v>0</v>
      </c>
      <c r="G14" s="3" t="n">
        <v>0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  <row r="15">
      <c r="A15" s="2" t="inlineStr">
        <is>
          <t>Apparel_CollarShirt</t>
        </is>
      </c>
      <c r="B15" s="2" t="inlineStr">
        <is>
          <t>Fabric,Leathery</t>
        </is>
      </c>
      <c r="C15" s="2" t="inlineStr">
        <is>
          <t>Leathery</t>
        </is>
      </c>
      <c r="D15" s="3" t="n">
        <v>0.2</v>
      </c>
      <c r="E15" s="3" t="n">
        <v>0</v>
      </c>
      <c r="F15" s="3" t="n">
        <v>0</v>
      </c>
      <c r="G15" s="3" t="n">
        <v>0</v>
      </c>
      <c r="H15" s="3">
        <f>ROUND((E15+D15*VLOOKUP(C15,Constants!$A$6:$G$11,2,0))*Constants!$B$2,2)</f>
        <v/>
      </c>
      <c r="I15" s="3">
        <f>ROUND((F15+D15*VLOOKUP(C15,Constants!$A$6:$G$11,3,0))*Constants!$B$2,2)</f>
        <v/>
      </c>
      <c r="J15" s="3">
        <f>ROUND((G15+D15*VLOOKUP(C15,Constants!$A$6:$G$11,4,0))*Constants!$B$2,2)</f>
        <v/>
      </c>
      <c r="K15" s="3">
        <f>ROUND((E15+D15*VLOOKUP(C15,Constants!$A$6:$G$11,5,0))*Constants!$B$1,2)</f>
        <v/>
      </c>
      <c r="L15" s="3">
        <f>ROUND((F15+D15*VLOOKUP(C15,Constants!$A$6:$G$11,6,0))*Constants!$B$1,2)</f>
        <v/>
      </c>
      <c r="M15" s="3">
        <f>ROUND((G15+D15*VLOOKUP(C15,Constants!$A$6:$G$11,7,0))*Constants!$B$1,2)</f>
        <v/>
      </c>
    </row>
    <row r="16">
      <c r="A16" s="2" t="inlineStr">
        <is>
          <t>Apparel_Duster</t>
        </is>
      </c>
      <c r="B16" s="2" t="inlineStr">
        <is>
          <t>Fabric,Leathery</t>
        </is>
      </c>
      <c r="C16" s="2" t="inlineStr">
        <is>
          <t>Leathery</t>
        </is>
      </c>
      <c r="D16" s="3" t="n">
        <v>0.3</v>
      </c>
      <c r="E16" s="3" t="n">
        <v>0</v>
      </c>
      <c r="F16" s="3" t="n">
        <v>0</v>
      </c>
      <c r="G16" s="3" t="n">
        <v>0</v>
      </c>
      <c r="H16" s="3">
        <f>ROUND((E16+D16*VLOOKUP(C16,Constants!$A$6:$G$11,2,0))*Constants!$B$2,2)</f>
        <v/>
      </c>
      <c r="I16" s="3">
        <f>ROUND((F16+D16*VLOOKUP(C16,Constants!$A$6:$G$11,3,0))*Constants!$B$2,2)</f>
        <v/>
      </c>
      <c r="J16" s="3">
        <f>ROUND((G16+D16*VLOOKUP(C16,Constants!$A$6:$G$11,4,0))*Constants!$B$2,2)</f>
        <v/>
      </c>
      <c r="K16" s="3">
        <f>ROUND((E16+D16*VLOOKUP(C16,Constants!$A$6:$G$11,5,0))*Constants!$B$1,2)</f>
        <v/>
      </c>
      <c r="L16" s="3">
        <f>ROUND((F16+D16*VLOOKUP(C16,Constants!$A$6:$G$11,6,0))*Constants!$B$1,2)</f>
        <v/>
      </c>
      <c r="M16" s="3">
        <f>ROUND((G16+D16*VLOOKUP(C16,Constants!$A$6:$G$11,7,0))*Constants!$B$1,2)</f>
        <v/>
      </c>
    </row>
    <row r="17">
      <c r="A17" s="2" t="inlineStr">
        <is>
          <t>Apparel_Jacket</t>
        </is>
      </c>
      <c r="B17" s="2" t="inlineStr">
        <is>
          <t>Fabric,Leathery</t>
        </is>
      </c>
      <c r="C17" s="2" t="inlineStr">
        <is>
          <t>Leathery</t>
        </is>
      </c>
      <c r="D17" s="3" t="n">
        <v>0.3</v>
      </c>
      <c r="E17" s="3" t="n">
        <v>0</v>
      </c>
      <c r="F17" s="3" t="n">
        <v>0</v>
      </c>
      <c r="G17" s="3" t="n">
        <v>0</v>
      </c>
      <c r="H17" s="3">
        <f>ROUND((E17+D17*VLOOKUP(C17,Constants!$A$6:$G$11,2,0))*Constants!$B$2,2)</f>
        <v/>
      </c>
      <c r="I17" s="3">
        <f>ROUND((F17+D17*VLOOKUP(C17,Constants!$A$6:$G$11,3,0))*Constants!$B$2,2)</f>
        <v/>
      </c>
      <c r="J17" s="3">
        <f>ROUND((G17+D17*VLOOKUP(C17,Constants!$A$6:$G$11,4,0))*Constants!$B$2,2)</f>
        <v/>
      </c>
      <c r="K17" s="3">
        <f>ROUND((E17+D17*VLOOKUP(C17,Constants!$A$6:$G$11,5,0))*Constants!$B$1,2)</f>
        <v/>
      </c>
      <c r="L17" s="3">
        <f>ROUND((F17+D17*VLOOKUP(C17,Constants!$A$6:$G$11,6,0))*Constants!$B$1,2)</f>
        <v/>
      </c>
      <c r="M17" s="3">
        <f>ROUND((G17+D17*VLOOKUP(C17,Constants!$A$6:$G$11,7,0))*Constants!$B$1,2)</f>
        <v/>
      </c>
    </row>
    <row r="18">
      <c r="A18" s="2" t="inlineStr">
        <is>
          <t>Apparel_PlateArmor</t>
        </is>
      </c>
      <c r="B18" s="2" t="inlineStr">
        <is>
          <t>Metallic,Woody</t>
        </is>
      </c>
      <c r="C18" s="2" t="inlineStr">
        <is>
          <t>Metallic</t>
        </is>
      </c>
      <c r="D18" s="3" t="n">
        <v>0.9</v>
      </c>
      <c r="E18" s="3" t="n">
        <v>0</v>
      </c>
      <c r="F18" s="3" t="n">
        <v>0</v>
      </c>
      <c r="G18" s="3" t="n">
        <v>0</v>
      </c>
      <c r="H18" s="3">
        <f>ROUND((E18+D18*VLOOKUP(C18,Constants!$A$6:$G$11,2,0))*Constants!$B$2,2)</f>
        <v/>
      </c>
      <c r="I18" s="3">
        <f>ROUND((F18+D18*VLOOKUP(C18,Constants!$A$6:$G$11,3,0))*Constants!$B$2,2)</f>
        <v/>
      </c>
      <c r="J18" s="3">
        <f>ROUND((G18+D18*VLOOKUP(C18,Constants!$A$6:$G$11,4,0))*Constants!$B$2,2)</f>
        <v/>
      </c>
      <c r="K18" s="3">
        <f>ROUND((E18+D18*VLOOKUP(C18,Constants!$A$6:$G$11,5,0))*Constants!$B$1,2)</f>
        <v/>
      </c>
      <c r="L18" s="3">
        <f>ROUND((F18+D18*VLOOKUP(C18,Constants!$A$6:$G$11,6,0))*Constants!$B$1,2)</f>
        <v/>
      </c>
      <c r="M18" s="3">
        <f>ROUND((G18+D18*VLOOKUP(C18,Constants!$A$6:$G$11,7,0))*Constants!$B$1,2)</f>
        <v/>
      </c>
    </row>
    <row r="19">
      <c r="A19" s="2" t="inlineStr">
        <is>
          <t>Apparel_FlakVest</t>
        </is>
      </c>
      <c r="B19" s="2" t="inlineStr">
        <is>
          <t>Fixed</t>
        </is>
      </c>
      <c r="C19" s="2" t="inlineStr">
        <is>
          <t>Fixed</t>
        </is>
      </c>
      <c r="D19" s="3" t="n">
        <v>0</v>
      </c>
      <c r="E19" s="3" t="n">
        <v>1</v>
      </c>
      <c r="F19" s="3" t="n">
        <v>0.36</v>
      </c>
      <c r="G19" s="3" t="n">
        <v>0.27</v>
      </c>
      <c r="H19" s="3">
        <f>ROUND((E19+D19*VLOOKUP(C19,Constants!$A$6:$G$11,2,0))*Constants!$B$2,2)</f>
        <v/>
      </c>
      <c r="I19" s="3">
        <f>ROUND((F19+D19*VLOOKUP(C19,Constants!$A$6:$G$11,3,0))*Constants!$B$2,2)</f>
        <v/>
      </c>
      <c r="J19" s="3">
        <f>ROUND((G19+D19*VLOOKUP(C19,Constants!$A$6:$G$11,4,0))*Constants!$B$2,2)</f>
        <v/>
      </c>
      <c r="K19" s="3">
        <f>ROUND((E19+D19*VLOOKUP(C19,Constants!$A$6:$G$11,5,0))*Constants!$B$1,2)</f>
        <v/>
      </c>
      <c r="L19" s="3">
        <f>ROUND((F19+D19*VLOOKUP(C19,Constants!$A$6:$G$11,6,0))*Constants!$B$1,2)</f>
        <v/>
      </c>
      <c r="M19" s="3">
        <f>ROUND((G19+D19*VLOOKUP(C19,Constants!$A$6:$G$11,7,0))*Constants!$B$1,2)</f>
        <v/>
      </c>
    </row>
    <row r="20">
      <c r="A20" s="2" t="inlineStr">
        <is>
          <t>Apparel_FlakPants</t>
        </is>
      </c>
      <c r="B20" s="2" t="inlineStr">
        <is>
          <t>Fixed</t>
        </is>
      </c>
      <c r="C20" s="2" t="inlineStr">
        <is>
          <t>Fixed</t>
        </is>
      </c>
      <c r="D20" s="3" t="n">
        <v>0</v>
      </c>
      <c r="E20" s="3" t="n">
        <v>0.55</v>
      </c>
      <c r="F20" s="3" t="n">
        <v>0.08</v>
      </c>
      <c r="G20" s="3" t="n">
        <v>0.1</v>
      </c>
      <c r="H20" s="3">
        <f>ROUND((E20+D20*VLOOKUP(C20,Constants!$A$6:$G$11,2,0))*Constants!$B$2,2)</f>
        <v/>
      </c>
      <c r="I20" s="3">
        <f>ROUND((F20+D20*VLOOKUP(C20,Constants!$A$6:$G$11,3,0))*Constants!$B$2,2)</f>
        <v/>
      </c>
      <c r="J20" s="3">
        <f>ROUND((G20+D20*VLOOKUP(C20,Constants!$A$6:$G$11,4,0))*Constants!$B$2,2)</f>
        <v/>
      </c>
      <c r="K20" s="3">
        <f>ROUND((E20+D20*VLOOKUP(C20,Constants!$A$6:$G$11,5,0))*Constants!$B$1,2)</f>
        <v/>
      </c>
      <c r="L20" s="3">
        <f>ROUND((F20+D20*VLOOKUP(C20,Constants!$A$6:$G$11,6,0))*Constants!$B$1,2)</f>
        <v/>
      </c>
      <c r="M20" s="3">
        <f>ROUND((G20+D20*VLOOKUP(C20,Constants!$A$6:$G$11,7,0))*Constants!$B$1,2)</f>
        <v/>
      </c>
    </row>
    <row r="21">
      <c r="A21" s="2" t="inlineStr">
        <is>
          <t>Apparel_FlakJacket</t>
        </is>
      </c>
      <c r="B21" s="2" t="inlineStr">
        <is>
          <t>Fixed</t>
        </is>
      </c>
      <c r="C21" s="2" t="inlineStr">
        <is>
          <t>Fixed</t>
        </is>
      </c>
      <c r="D21" s="3" t="n">
        <v>0</v>
      </c>
      <c r="E21" s="3" t="n">
        <v>0.55</v>
      </c>
      <c r="F21" s="3" t="n">
        <v>0.08</v>
      </c>
      <c r="G21" s="3" t="n">
        <v>0.1</v>
      </c>
      <c r="H21" s="3">
        <f>ROUND((E21+D21*VLOOKUP(C21,Constants!$A$6:$G$11,2,0))*Constants!$B$2,2)</f>
        <v/>
      </c>
      <c r="I21" s="3">
        <f>ROUND((F21+D21*VLOOKUP(C21,Constants!$A$6:$G$11,3,0))*Constants!$B$2,2)</f>
        <v/>
      </c>
      <c r="J21" s="3">
        <f>ROUND((G21+D21*VLOOKUP(C21,Constants!$A$6:$G$11,4,0))*Constants!$B$2,2)</f>
        <v/>
      </c>
      <c r="K21" s="3">
        <f>ROUND((E21+D21*VLOOKUP(C21,Constants!$A$6:$G$11,5,0))*Constants!$B$1,2)</f>
        <v/>
      </c>
      <c r="L21" s="3">
        <f>ROUND((F21+D21*VLOOKUP(C21,Constants!$A$6:$G$11,6,0))*Constants!$B$1,2)</f>
        <v/>
      </c>
      <c r="M21" s="3">
        <f>ROUND((G21+D21*VLOOKUP(C21,Constants!$A$6:$G$11,7,0))*Constants!$B$1,2)</f>
        <v/>
      </c>
    </row>
    <row r="22">
      <c r="A22" s="2" t="inlineStr">
        <is>
          <t>Apparel_PowerArmor</t>
        </is>
      </c>
      <c r="B22" s="2" t="inlineStr">
        <is>
          <t>Fixed</t>
        </is>
      </c>
      <c r="C22" s="2" t="inlineStr">
        <is>
          <t>Fixed</t>
        </is>
      </c>
      <c r="D22" s="3" t="n">
        <v>0</v>
      </c>
      <c r="E22" s="3" t="n">
        <v>1.06</v>
      </c>
      <c r="F22" s="3" t="n">
        <v>0.45</v>
      </c>
      <c r="G22" s="3" t="n">
        <v>0.54</v>
      </c>
      <c r="H22" s="3">
        <f>ROUND((E22+D22*VLOOKUP(C22,Constants!$A$6:$G$11,2,0))*Constants!$B$2,2)</f>
        <v/>
      </c>
      <c r="I22" s="3">
        <f>ROUND((F22+D22*VLOOKUP(C22,Constants!$A$6:$G$11,3,0))*Constants!$B$2,2)</f>
        <v/>
      </c>
      <c r="J22" s="3">
        <f>ROUND((G22+D22*VLOOKUP(C22,Constants!$A$6:$G$11,4,0))*Constants!$B$2,2)</f>
        <v/>
      </c>
      <c r="K22" s="3">
        <f>ROUND((E22+D22*VLOOKUP(C22,Constants!$A$6:$G$11,5,0))*Constants!$B$1,2)</f>
        <v/>
      </c>
      <c r="L22" s="3">
        <f>ROUND((F22+D22*VLOOKUP(C22,Constants!$A$6:$G$11,6,0))*Constants!$B$1,2)</f>
        <v/>
      </c>
      <c r="M22" s="3">
        <f>ROUND((G22+D22*VLOOKUP(C22,Constants!$A$6:$G$11,7,0))*Constants!$B$1,2)</f>
        <v/>
      </c>
    </row>
    <row r="23">
      <c r="A23" s="2" t="inlineStr">
        <is>
          <t>Apparel_ArmorRecon</t>
        </is>
      </c>
      <c r="B23" s="2" t="inlineStr">
        <is>
          <t>Fixed</t>
        </is>
      </c>
      <c r="C23" s="2" t="inlineStr">
        <is>
          <t>Fixed</t>
        </is>
      </c>
      <c r="D23" s="3" t="n">
        <v>0</v>
      </c>
      <c r="E23" s="3" t="n">
        <v>0.92</v>
      </c>
      <c r="F23" s="3" t="n">
        <v>0.4</v>
      </c>
      <c r="G23" s="3" t="n">
        <v>0.46</v>
      </c>
      <c r="H23" s="3">
        <f>ROUND((E23+D23*VLOOKUP(C23,Constants!$A$6:$G$11,2,0))*Constants!$B$2,2)</f>
        <v/>
      </c>
      <c r="I23" s="3">
        <f>ROUND((F23+D23*VLOOKUP(C23,Constants!$A$6:$G$11,3,0))*Constants!$B$2,2)</f>
        <v/>
      </c>
      <c r="J23" s="3">
        <f>ROUND((G23+D23*VLOOKUP(C23,Constants!$A$6:$G$11,4,0))*Constants!$B$2,2)</f>
        <v/>
      </c>
      <c r="K23" s="3">
        <f>ROUND((E23+D23*VLOOKUP(C23,Constants!$A$6:$G$11,5,0))*Constants!$B$1,2)</f>
        <v/>
      </c>
      <c r="L23" s="3">
        <f>ROUND((F23+D23*VLOOKUP(C23,Constants!$A$6:$G$11,6,0))*Constants!$B$1,2)</f>
        <v/>
      </c>
      <c r="M23" s="3">
        <f>ROUND((G23+D23*VLOOKUP(C23,Constants!$A$6:$G$11,7,0))*Constants!$B$1,2)</f>
        <v/>
      </c>
    </row>
    <row r="24">
      <c r="A24" s="2" t="inlineStr">
        <is>
          <t>Apparel_Cape</t>
        </is>
      </c>
      <c r="B24" s="2" t="inlineStr">
        <is>
          <t>Fabric,Leathery</t>
        </is>
      </c>
      <c r="C24" s="2" t="inlineStr">
        <is>
          <t>Leathery</t>
        </is>
      </c>
      <c r="D24" s="3" t="n">
        <v>0.3</v>
      </c>
      <c r="E24" s="3" t="n">
        <v>0</v>
      </c>
      <c r="F24" s="3" t="n">
        <v>0</v>
      </c>
      <c r="G24" s="3" t="n">
        <v>0</v>
      </c>
      <c r="H24" s="3">
        <f>ROUND((E24+D24*VLOOKUP(C24,Constants!$A$6:$G$11,2,0))*Constants!$B$2,2)</f>
        <v/>
      </c>
      <c r="I24" s="3">
        <f>ROUND((F24+D24*VLOOKUP(C24,Constants!$A$6:$G$11,3,0))*Constants!$B$2,2)</f>
        <v/>
      </c>
      <c r="J24" s="3">
        <f>ROUND((G24+D24*VLOOKUP(C24,Constants!$A$6:$G$11,4,0))*Constants!$B$2,2)</f>
        <v/>
      </c>
      <c r="K24" s="3">
        <f>ROUND((E24+D24*VLOOKUP(C24,Constants!$A$6:$G$11,5,0))*Constants!$B$1,2)</f>
        <v/>
      </c>
      <c r="L24" s="3">
        <f>ROUND((F24+D24*VLOOKUP(C24,Constants!$A$6:$G$11,6,0))*Constants!$B$1,2)</f>
        <v/>
      </c>
      <c r="M24" s="3">
        <f>ROUND((G24+D24*VLOOKUP(C24,Constants!$A$6:$G$11,7,0))*Constants!$B$1,2)</f>
        <v/>
      </c>
    </row>
    <row r="25">
      <c r="A25" s="2" t="inlineStr">
        <is>
          <t>Apparel_Robe</t>
        </is>
      </c>
      <c r="B25" s="2" t="inlineStr">
        <is>
          <t>Fabric,Leathery</t>
        </is>
      </c>
      <c r="C25" s="2" t="inlineStr">
        <is>
          <t>Leathery</t>
        </is>
      </c>
      <c r="D25" s="3" t="n">
        <v>0.2</v>
      </c>
      <c r="E25" s="3" t="n">
        <v>0</v>
      </c>
      <c r="F25" s="3" t="n">
        <v>0</v>
      </c>
      <c r="G25" s="3" t="n">
        <v>0</v>
      </c>
      <c r="H25" s="3">
        <f>ROUND((E25+D25*VLOOKUP(C25,Constants!$A$6:$G$11,2,0))*Constants!$B$2,2)</f>
        <v/>
      </c>
      <c r="I25" s="3">
        <f>ROUND((F25+D25*VLOOKUP(C25,Constants!$A$6:$G$11,3,0))*Constants!$B$2,2)</f>
        <v/>
      </c>
      <c r="J25" s="3">
        <f>ROUND((G25+D25*VLOOKUP(C25,Constants!$A$6:$G$11,4,0))*Constants!$B$2,2)</f>
        <v/>
      </c>
      <c r="K25" s="3">
        <f>ROUND((E25+D25*VLOOKUP(C25,Constants!$A$6:$G$11,5,0))*Constants!$B$1,2)</f>
        <v/>
      </c>
      <c r="L25" s="3">
        <f>ROUND((F25+D25*VLOOKUP(C25,Constants!$A$6:$G$11,6,0))*Constants!$B$1,2)</f>
        <v/>
      </c>
      <c r="M25" s="3">
        <f>ROUND((G25+D25*VLOOKUP(C25,Constants!$A$6:$G$11,7,0))*Constants!$B$1,2)</f>
        <v/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Apparel_PsyfocusHelmet</t>
        </is>
      </c>
      <c r="B2" s="2" t="inlineStr">
        <is>
          <t>Fixed</t>
        </is>
      </c>
      <c r="C2" s="2" t="inlineStr">
        <is>
          <t>Fixed</t>
        </is>
      </c>
      <c r="D2" s="3" t="n">
        <v>0</v>
      </c>
      <c r="E2" s="3" t="n">
        <v>0.09</v>
      </c>
      <c r="F2" s="3" t="n">
        <v>0.09</v>
      </c>
      <c r="G2" s="3" t="n">
        <v>0.27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Apparel_EltexSkullcap</t>
        </is>
      </c>
      <c r="B3" s="2" t="inlineStr">
        <is>
          <t>Fixed</t>
        </is>
      </c>
      <c r="C3" s="2" t="inlineStr">
        <is>
          <t>Fixed</t>
        </is>
      </c>
      <c r="D3" s="3" t="n">
        <v>0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Apparel_PsyfocusShirt</t>
        </is>
      </c>
      <c r="B4" s="2" t="inlineStr">
        <is>
          <t>Fixed</t>
        </is>
      </c>
      <c r="C4" s="2" t="inlineStr">
        <is>
          <t>Fixed</t>
        </is>
      </c>
      <c r="D4" s="3" t="n">
        <v>0</v>
      </c>
      <c r="E4" s="3" t="n">
        <v>0.07000000000000001</v>
      </c>
      <c r="F4" s="3" t="n">
        <v>0</v>
      </c>
      <c r="G4" s="3" t="n">
        <v>0.04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Apparel_PsyfocusVest</t>
        </is>
      </c>
      <c r="B5" s="2" t="inlineStr">
        <is>
          <t>Fixed</t>
        </is>
      </c>
      <c r="C5" s="2" t="inlineStr">
        <is>
          <t>Fixed</t>
        </is>
      </c>
      <c r="D5" s="3" t="n">
        <v>0</v>
      </c>
      <c r="E5" s="3" t="n">
        <v>0.07000000000000001</v>
      </c>
      <c r="F5" s="3" t="n">
        <v>0</v>
      </c>
      <c r="G5" s="3" t="n">
        <v>0.04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Apparel_PsyfocusRobe</t>
        </is>
      </c>
      <c r="B6" s="2" t="inlineStr">
        <is>
          <t>Fixed</t>
        </is>
      </c>
      <c r="C6" s="2" t="inlineStr">
        <is>
          <t>Fixed</t>
        </is>
      </c>
      <c r="D6" s="3" t="n">
        <v>0</v>
      </c>
      <c r="E6" s="3" t="n">
        <v>0.07000000000000001</v>
      </c>
      <c r="F6" s="3" t="n">
        <v>0</v>
      </c>
      <c r="G6" s="3" t="n">
        <v>0.04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Apparel_ShirtRuffle</t>
        </is>
      </c>
      <c r="B7" s="2" t="inlineStr">
        <is>
          <t>Fabric,Leathery</t>
        </is>
      </c>
      <c r="C7" s="2" t="inlineStr">
        <is>
          <t>Leathery</t>
        </is>
      </c>
      <c r="D7" s="3" t="n">
        <v>0.2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Apparel_Corset</t>
        </is>
      </c>
      <c r="B8" s="2" t="inlineStr">
        <is>
          <t>Fabric,Leathery</t>
        </is>
      </c>
      <c r="C8" s="2" t="inlineStr">
        <is>
          <t>Leathery</t>
        </is>
      </c>
      <c r="D8" s="3" t="n">
        <v>0.2</v>
      </c>
      <c r="E8" s="3" t="n">
        <v>0</v>
      </c>
      <c r="F8" s="3" t="n">
        <v>0</v>
      </c>
      <c r="G8" s="3" t="n">
        <v>0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Apparel_VestRoyal</t>
        </is>
      </c>
      <c r="B9" s="2" t="inlineStr">
        <is>
          <t>Fabric,Leathery</t>
        </is>
      </c>
      <c r="C9" s="2" t="inlineStr">
        <is>
          <t>Leathery</t>
        </is>
      </c>
      <c r="D9" s="3" t="n">
        <v>0.2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Apparel_RobeRoyal</t>
        </is>
      </c>
      <c r="B10" s="2" t="inlineStr">
        <is>
          <t>Fabric,Leathery</t>
        </is>
      </c>
      <c r="C10" s="2" t="inlineStr">
        <is>
          <t>Leathery</t>
        </is>
      </c>
      <c r="D10" s="3" t="n">
        <v>0.2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Apparel_HatLadies</t>
        </is>
      </c>
      <c r="B11" s="2" t="inlineStr">
        <is>
          <t>Fabric,Leathery</t>
        </is>
      </c>
      <c r="C11" s="2" t="inlineStr">
        <is>
          <t>Leathery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Apparel_HatTop</t>
        </is>
      </c>
      <c r="B12" s="2" t="inlineStr">
        <is>
          <t>Fabric,Leathery</t>
        </is>
      </c>
      <c r="C12" s="2" t="inlineStr">
        <is>
          <t>Leathery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Apparel_Coronet</t>
        </is>
      </c>
      <c r="B13" s="2" t="inlineStr">
        <is>
          <t>Metallic</t>
        </is>
      </c>
      <c r="C13" s="2" t="inlineStr">
        <is>
          <t>Metallic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Apparel_Crown</t>
        </is>
      </c>
      <c r="B14" s="2" t="inlineStr">
        <is>
          <t>Metallic</t>
        </is>
      </c>
      <c r="C14" s="2" t="inlineStr">
        <is>
          <t>Metallic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  <row r="15">
      <c r="A15" s="2" t="inlineStr">
        <is>
          <t>Apparel_CrownStellic</t>
        </is>
      </c>
      <c r="B15" s="2" t="inlineStr">
        <is>
          <t>Metallic</t>
        </is>
      </c>
      <c r="C15" s="2" t="inlineStr">
        <is>
          <t>Metallic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>
        <f>ROUND((E15+D15*VLOOKUP(C15,Constants!$A$6:$G$11,2,0))*Constants!$B$2,2)</f>
        <v/>
      </c>
      <c r="I15" s="3">
        <f>ROUND((F15+D15*VLOOKUP(C15,Constants!$A$6:$G$11,3,0))*Constants!$B$2,2)</f>
        <v/>
      </c>
      <c r="J15" s="3">
        <f>ROUND((G15+D15*VLOOKUP(C15,Constants!$A$6:$G$11,4,0))*Constants!$B$2,2)</f>
        <v/>
      </c>
      <c r="K15" s="3">
        <f>ROUND((E15+D15*VLOOKUP(C15,Constants!$A$6:$G$11,5,0))*Constants!$B$1,2)</f>
        <v/>
      </c>
      <c r="L15" s="3">
        <f>ROUND((F15+D15*VLOOKUP(C15,Constants!$A$6:$G$11,6,0))*Constants!$B$1,2)</f>
        <v/>
      </c>
      <c r="M15" s="3">
        <f>ROUND((G15+D15*VLOOKUP(C15,Constants!$A$6:$G$11,7,0))*Constants!$B$1,2)</f>
        <v/>
      </c>
    </row>
    <row r="16">
      <c r="A16" s="2" t="inlineStr">
        <is>
          <t>Apparel_Beret</t>
        </is>
      </c>
      <c r="B16" s="2" t="inlineStr">
        <is>
          <t>Fabric,Leathery</t>
        </is>
      </c>
      <c r="C16" s="2" t="inlineStr">
        <is>
          <t>Leathery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>
        <f>ROUND((E16+D16*VLOOKUP(C16,Constants!$A$6:$G$11,2,0))*Constants!$B$2,2)</f>
        <v/>
      </c>
      <c r="I16" s="3">
        <f>ROUND((F16+D16*VLOOKUP(C16,Constants!$A$6:$G$11,3,0))*Constants!$B$2,2)</f>
        <v/>
      </c>
      <c r="J16" s="3">
        <f>ROUND((G16+D16*VLOOKUP(C16,Constants!$A$6:$G$11,4,0))*Constants!$B$2,2)</f>
        <v/>
      </c>
      <c r="K16" s="3">
        <f>ROUND((E16+D16*VLOOKUP(C16,Constants!$A$6:$G$11,5,0))*Constants!$B$1,2)</f>
        <v/>
      </c>
      <c r="L16" s="3">
        <f>ROUND((F16+D16*VLOOKUP(C16,Constants!$A$6:$G$11,6,0))*Constants!$B$1,2)</f>
        <v/>
      </c>
      <c r="M16" s="3">
        <f>ROUND((G16+D16*VLOOKUP(C16,Constants!$A$6:$G$11,7,0))*Constants!$B$1,2)</f>
        <v/>
      </c>
    </row>
    <row r="17">
      <c r="A17" s="2" t="inlineStr">
        <is>
          <t>Apparel_ArmorReconPrestige</t>
        </is>
      </c>
      <c r="B17" s="2" t="inlineStr">
        <is>
          <t>Fixed</t>
        </is>
      </c>
      <c r="C17" s="2" t="inlineStr">
        <is>
          <t>Fixed</t>
        </is>
      </c>
      <c r="D17" s="3" t="n">
        <v>0</v>
      </c>
      <c r="E17" s="3" t="n">
        <v>0.92</v>
      </c>
      <c r="F17" s="3" t="n">
        <v>0.4</v>
      </c>
      <c r="G17" s="3" t="n">
        <v>0.46</v>
      </c>
      <c r="H17" s="3">
        <f>ROUND((E17+D17*VLOOKUP(C17,Constants!$A$6:$G$11,2,0))*Constants!$B$2,2)</f>
        <v/>
      </c>
      <c r="I17" s="3">
        <f>ROUND((F17+D17*VLOOKUP(C17,Constants!$A$6:$G$11,3,0))*Constants!$B$2,2)</f>
        <v/>
      </c>
      <c r="J17" s="3">
        <f>ROUND((G17+D17*VLOOKUP(C17,Constants!$A$6:$G$11,4,0))*Constants!$B$2,2)</f>
        <v/>
      </c>
      <c r="K17" s="3">
        <f>ROUND((E17+D17*VLOOKUP(C17,Constants!$A$6:$G$11,5,0))*Constants!$B$1,2)</f>
        <v/>
      </c>
      <c r="L17" s="3">
        <f>ROUND((F17+D17*VLOOKUP(C17,Constants!$A$6:$G$11,6,0))*Constants!$B$1,2)</f>
        <v/>
      </c>
      <c r="M17" s="3">
        <f>ROUND((G17+D17*VLOOKUP(C17,Constants!$A$6:$G$11,7,0))*Constants!$B$1,2)</f>
        <v/>
      </c>
    </row>
    <row r="18">
      <c r="A18" s="2" t="inlineStr">
        <is>
          <t>Apparel_ArmorMarinePrestige</t>
        </is>
      </c>
      <c r="B18" s="2" t="inlineStr">
        <is>
          <t>Fixed</t>
        </is>
      </c>
      <c r="C18" s="2" t="inlineStr">
        <is>
          <t>Fixed</t>
        </is>
      </c>
      <c r="D18" s="3" t="n">
        <v>0</v>
      </c>
      <c r="E18" s="3" t="n">
        <v>1.06</v>
      </c>
      <c r="F18" s="3" t="n">
        <v>0.45</v>
      </c>
      <c r="G18" s="3" t="n">
        <v>0.54</v>
      </c>
      <c r="H18" s="3">
        <f>ROUND((E18+D18*VLOOKUP(C18,Constants!$A$6:$G$11,2,0))*Constants!$B$2,2)</f>
        <v/>
      </c>
      <c r="I18" s="3">
        <f>ROUND((F18+D18*VLOOKUP(C18,Constants!$A$6:$G$11,3,0))*Constants!$B$2,2)</f>
        <v/>
      </c>
      <c r="J18" s="3">
        <f>ROUND((G18+D18*VLOOKUP(C18,Constants!$A$6:$G$11,4,0))*Constants!$B$2,2)</f>
        <v/>
      </c>
      <c r="K18" s="3">
        <f>ROUND((E18+D18*VLOOKUP(C18,Constants!$A$6:$G$11,5,0))*Constants!$B$1,2)</f>
        <v/>
      </c>
      <c r="L18" s="3">
        <f>ROUND((F18+D18*VLOOKUP(C18,Constants!$A$6:$G$11,6,0))*Constants!$B$1,2)</f>
        <v/>
      </c>
      <c r="M18" s="3">
        <f>ROUND((G18+D18*VLOOKUP(C18,Constants!$A$6:$G$11,7,0))*Constants!$B$1,2)</f>
        <v/>
      </c>
    </row>
    <row r="19">
      <c r="A19" s="2" t="inlineStr">
        <is>
          <t>Apparel_ArmorCataphract</t>
        </is>
      </c>
      <c r="B19" s="2" t="inlineStr">
        <is>
          <t>Fixed</t>
        </is>
      </c>
      <c r="C19" s="2" t="inlineStr">
        <is>
          <t>Fixed</t>
        </is>
      </c>
      <c r="D19" s="3" t="n">
        <v>0</v>
      </c>
      <c r="E19" s="3" t="n">
        <v>1.2</v>
      </c>
      <c r="F19" s="3" t="n">
        <v>0.5</v>
      </c>
      <c r="G19" s="3" t="n">
        <v>0.6</v>
      </c>
      <c r="H19" s="3">
        <f>ROUND((E19+D19*VLOOKUP(C19,Constants!$A$6:$G$11,2,0))*Constants!$B$2,2)</f>
        <v/>
      </c>
      <c r="I19" s="3">
        <f>ROUND((F19+D19*VLOOKUP(C19,Constants!$A$6:$G$11,3,0))*Constants!$B$2,2)</f>
        <v/>
      </c>
      <c r="J19" s="3">
        <f>ROUND((G19+D19*VLOOKUP(C19,Constants!$A$6:$G$11,4,0))*Constants!$B$2,2)</f>
        <v/>
      </c>
      <c r="K19" s="3">
        <f>ROUND((E19+D19*VLOOKUP(C19,Constants!$A$6:$G$11,5,0))*Constants!$B$1,2)</f>
        <v/>
      </c>
      <c r="L19" s="3">
        <f>ROUND((F19+D19*VLOOKUP(C19,Constants!$A$6:$G$11,6,0))*Constants!$B$1,2)</f>
        <v/>
      </c>
      <c r="M19" s="3">
        <f>ROUND((G19+D19*VLOOKUP(C19,Constants!$A$6:$G$11,7,0))*Constants!$B$1,2)</f>
        <v/>
      </c>
    </row>
    <row r="20">
      <c r="A20" s="2" t="inlineStr">
        <is>
          <t>Apparel_ArmorCataphractPrestige</t>
        </is>
      </c>
      <c r="B20" s="2" t="inlineStr">
        <is>
          <t>Fixed</t>
        </is>
      </c>
      <c r="C20" s="2" t="inlineStr">
        <is>
          <t>Fixed</t>
        </is>
      </c>
      <c r="D20" s="3" t="n">
        <v>0</v>
      </c>
      <c r="E20" s="3" t="n">
        <v>1.2</v>
      </c>
      <c r="F20" s="3" t="n">
        <v>0.5</v>
      </c>
      <c r="G20" s="3" t="n">
        <v>0.6</v>
      </c>
      <c r="H20" s="3">
        <f>ROUND((E20+D20*VLOOKUP(C20,Constants!$A$6:$G$11,2,0))*Constants!$B$2,2)</f>
        <v/>
      </c>
      <c r="I20" s="3">
        <f>ROUND((F20+D20*VLOOKUP(C20,Constants!$A$6:$G$11,3,0))*Constants!$B$2,2)</f>
        <v/>
      </c>
      <c r="J20" s="3">
        <f>ROUND((G20+D20*VLOOKUP(C20,Constants!$A$6:$G$11,4,0))*Constants!$B$2,2)</f>
        <v/>
      </c>
      <c r="K20" s="3">
        <f>ROUND((E20+D20*VLOOKUP(C20,Constants!$A$6:$G$11,5,0))*Constants!$B$1,2)</f>
        <v/>
      </c>
      <c r="L20" s="3">
        <f>ROUND((F20+D20*VLOOKUP(C20,Constants!$A$6:$G$11,6,0))*Constants!$B$1,2)</f>
        <v/>
      </c>
      <c r="M20" s="3">
        <f>ROUND((G20+D20*VLOOKUP(C20,Constants!$A$6:$G$11,7,0))*Constants!$B$1,2)</f>
        <v/>
      </c>
    </row>
    <row r="21">
      <c r="A21" s="2" t="inlineStr">
        <is>
          <t>Apparel_ArmorLocust</t>
        </is>
      </c>
      <c r="B21" s="2" t="inlineStr">
        <is>
          <t>Fixed</t>
        </is>
      </c>
      <c r="C21" s="2" t="inlineStr">
        <is>
          <t>Fixed</t>
        </is>
      </c>
      <c r="D21" s="3" t="n">
        <v>0</v>
      </c>
      <c r="E21" s="3" t="n">
        <v>0.87</v>
      </c>
      <c r="F21" s="3" t="n">
        <v>0.35</v>
      </c>
      <c r="G21" s="3" t="n">
        <v>0.41</v>
      </c>
      <c r="H21" s="3">
        <f>ROUND((E21+D21*VLOOKUP(C21,Constants!$A$6:$G$11,2,0))*Constants!$B$2,2)</f>
        <v/>
      </c>
      <c r="I21" s="3">
        <f>ROUND((F21+D21*VLOOKUP(C21,Constants!$A$6:$G$11,3,0))*Constants!$B$2,2)</f>
        <v/>
      </c>
      <c r="J21" s="3">
        <f>ROUND((G21+D21*VLOOKUP(C21,Constants!$A$6:$G$11,4,0))*Constants!$B$2,2)</f>
        <v/>
      </c>
      <c r="K21" s="3">
        <f>ROUND((E21+D21*VLOOKUP(C21,Constants!$A$6:$G$11,5,0))*Constants!$B$1,2)</f>
        <v/>
      </c>
      <c r="L21" s="3">
        <f>ROUND((F21+D21*VLOOKUP(C21,Constants!$A$6:$G$11,6,0))*Constants!$B$1,2)</f>
        <v/>
      </c>
      <c r="M21" s="3">
        <f>ROUND((G21+D21*VLOOKUP(C21,Constants!$A$6:$G$11,7,0))*Constants!$B$1,2)</f>
        <v/>
      </c>
    </row>
    <row r="22">
      <c r="A22" s="2" t="inlineStr">
        <is>
          <t>Apparel_ArmorMarineGrenadier</t>
        </is>
      </c>
      <c r="B22" s="2" t="inlineStr">
        <is>
          <t>Fixed</t>
        </is>
      </c>
      <c r="C22" s="2" t="inlineStr">
        <is>
          <t>Fixed</t>
        </is>
      </c>
      <c r="D22" s="3" t="n">
        <v>0</v>
      </c>
      <c r="E22" s="3" t="n">
        <v>1.01</v>
      </c>
      <c r="F22" s="3" t="n">
        <v>0.4</v>
      </c>
      <c r="G22" s="3" t="n">
        <v>0.49</v>
      </c>
      <c r="H22" s="3">
        <f>ROUND((E22+D22*VLOOKUP(C22,Constants!$A$6:$G$11,2,0))*Constants!$B$2,2)</f>
        <v/>
      </c>
      <c r="I22" s="3">
        <f>ROUND((F22+D22*VLOOKUP(C22,Constants!$A$6:$G$11,3,0))*Constants!$B$2,2)</f>
        <v/>
      </c>
      <c r="J22" s="3">
        <f>ROUND((G22+D22*VLOOKUP(C22,Constants!$A$6:$G$11,4,0))*Constants!$B$2,2)</f>
        <v/>
      </c>
      <c r="K22" s="3">
        <f>ROUND((E22+D22*VLOOKUP(C22,Constants!$A$6:$G$11,5,0))*Constants!$B$1,2)</f>
        <v/>
      </c>
      <c r="L22" s="3">
        <f>ROUND((F22+D22*VLOOKUP(C22,Constants!$A$6:$G$11,6,0))*Constants!$B$1,2)</f>
        <v/>
      </c>
      <c r="M22" s="3">
        <f>ROUND((G22+D22*VLOOKUP(C22,Constants!$A$6:$G$11,7,0))*Constants!$B$1,2)</f>
        <v/>
      </c>
    </row>
    <row r="23">
      <c r="A23" s="2" t="inlineStr">
        <is>
          <t>Apparel_ArmorCataphractPhoenix</t>
        </is>
      </c>
      <c r="B23" s="2" t="inlineStr">
        <is>
          <t>Fixed</t>
        </is>
      </c>
      <c r="C23" s="2" t="inlineStr">
        <is>
          <t>Fixed</t>
        </is>
      </c>
      <c r="D23" s="3" t="n">
        <v>0</v>
      </c>
      <c r="E23" s="3" t="n">
        <v>1.15</v>
      </c>
      <c r="F23" s="3" t="n">
        <v>0.45</v>
      </c>
      <c r="G23" s="3" t="n">
        <v>0.75</v>
      </c>
      <c r="H23" s="3">
        <f>ROUND((E23+D23*VLOOKUP(C23,Constants!$A$6:$G$11,2,0))*Constants!$B$2,2)</f>
        <v/>
      </c>
      <c r="I23" s="3">
        <f>ROUND((F23+D23*VLOOKUP(C23,Constants!$A$6:$G$11,3,0))*Constants!$B$2,2)</f>
        <v/>
      </c>
      <c r="J23" s="3">
        <f>ROUND((G23+D23*VLOOKUP(C23,Constants!$A$6:$G$11,4,0))*Constants!$B$2,2)</f>
        <v/>
      </c>
      <c r="K23" s="3">
        <f>ROUND((E23+D23*VLOOKUP(C23,Constants!$A$6:$G$11,5,0))*Constants!$B$1,2)</f>
        <v/>
      </c>
      <c r="L23" s="3">
        <f>ROUND((F23+D23*VLOOKUP(C23,Constants!$A$6:$G$11,6,0))*Constants!$B$1,2)</f>
        <v/>
      </c>
      <c r="M23" s="3">
        <f>ROUND((G23+D23*VLOOKUP(C23,Constants!$A$6:$G$11,7,0))*Constants!$B$1,2)</f>
        <v/>
      </c>
    </row>
    <row r="24">
      <c r="A24" s="2" t="inlineStr">
        <is>
          <t>Apparel_Gunlink</t>
        </is>
      </c>
      <c r="B24" s="2" t="inlineStr">
        <is>
          <t>Fixed</t>
        </is>
      </c>
      <c r="C24" s="2" t="inlineStr">
        <is>
          <t>Fixed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>
        <f>ROUND((E24+D24*VLOOKUP(C24,Constants!$A$6:$G$11,2,0))*Constants!$B$2,2)</f>
        <v/>
      </c>
      <c r="I24" s="3">
        <f>ROUND((F24+D24*VLOOKUP(C24,Constants!$A$6:$G$11,3,0))*Constants!$B$2,2)</f>
        <v/>
      </c>
      <c r="J24" s="3">
        <f>ROUND((G24+D24*VLOOKUP(C24,Constants!$A$6:$G$11,4,0))*Constants!$B$2,2)</f>
        <v/>
      </c>
      <c r="K24" s="3">
        <f>ROUND((E24+D24*VLOOKUP(C24,Constants!$A$6:$G$11,5,0))*Constants!$B$1,2)</f>
        <v/>
      </c>
      <c r="L24" s="3">
        <f>ROUND((F24+D24*VLOOKUP(C24,Constants!$A$6:$G$11,6,0))*Constants!$B$1,2)</f>
        <v/>
      </c>
      <c r="M24" s="3">
        <f>ROUND((G24+D24*VLOOKUP(C24,Constants!$A$6:$G$11,7,0))*Constants!$B$1,2)</f>
        <v/>
      </c>
    </row>
  </sheetData>
  <autoFilter ref="A1:M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Apparel_Headwrap</t>
        </is>
      </c>
      <c r="B2" s="2" t="inlineStr">
        <is>
          <t>Fabric</t>
        </is>
      </c>
      <c r="C2" s="2" t="inlineStr">
        <is>
          <t>Leathery</t>
        </is>
      </c>
      <c r="D2" s="3" t="n">
        <v>0.25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Apparel_Slicecap</t>
        </is>
      </c>
      <c r="B3" s="2" t="inlineStr">
        <is>
          <t>Woody,Metallic</t>
        </is>
      </c>
      <c r="C3" s="2" t="inlineStr">
        <is>
          <t>Metallic</t>
        </is>
      </c>
      <c r="D3" s="3" t="n">
        <v>0.1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Apparel_Collar</t>
        </is>
      </c>
      <c r="B4" s="2" t="inlineStr">
        <is>
          <t>Metallic,Leathery</t>
        </is>
      </c>
      <c r="C4" s="2" t="inlineStr">
        <is>
          <t>Metallic</t>
        </is>
      </c>
      <c r="D4" s="3" t="n">
        <v>0</v>
      </c>
      <c r="E4" s="3" t="n">
        <v>0</v>
      </c>
      <c r="F4" s="3" t="n">
        <v>0</v>
      </c>
      <c r="G4" s="3" t="n">
        <v>0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Apparel_AuthorityCap</t>
        </is>
      </c>
      <c r="B5" s="2" t="inlineStr">
        <is>
          <t>Fabric,Leathery</t>
        </is>
      </c>
      <c r="C5" s="2" t="inlineStr">
        <is>
          <t>Leathery</t>
        </is>
      </c>
      <c r="D5" s="3" t="n">
        <v>0.2</v>
      </c>
      <c r="E5" s="3" t="n">
        <v>0</v>
      </c>
      <c r="F5" s="3" t="n">
        <v>0</v>
      </c>
      <c r="G5" s="3" t="n">
        <v>0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Apparel_Tailcap</t>
        </is>
      </c>
      <c r="B6" s="2" t="inlineStr">
        <is>
          <t>Leathery</t>
        </is>
      </c>
      <c r="C6" s="2" t="inlineStr">
        <is>
          <t>Leathery</t>
        </is>
      </c>
      <c r="D6" s="3" t="n">
        <v>0.2</v>
      </c>
      <c r="E6" s="3" t="n">
        <v>0</v>
      </c>
      <c r="F6" s="3" t="n">
        <v>0</v>
      </c>
      <c r="G6" s="3" t="n">
        <v>0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Apparel_Shadecone</t>
        </is>
      </c>
      <c r="B7" s="2" t="inlineStr">
        <is>
          <t>Fabric,Leathery</t>
        </is>
      </c>
      <c r="C7" s="2" t="inlineStr">
        <is>
          <t>Leathery</t>
        </is>
      </c>
      <c r="D7" s="3" t="n">
        <v>0.2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Apparel_Flophat</t>
        </is>
      </c>
      <c r="B8" s="2" t="inlineStr">
        <is>
          <t>Fabric</t>
        </is>
      </c>
      <c r="C8" s="2" t="inlineStr">
        <is>
          <t>Leathery</t>
        </is>
      </c>
      <c r="D8" s="3" t="n">
        <v>0.2</v>
      </c>
      <c r="E8" s="3" t="n">
        <v>0</v>
      </c>
      <c r="F8" s="3" t="n">
        <v>0</v>
      </c>
      <c r="G8" s="3" t="n">
        <v>0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Apparel_BodyStrap</t>
        </is>
      </c>
      <c r="B9" s="2" t="inlineStr">
        <is>
          <t>Fabric,Leathery</t>
        </is>
      </c>
      <c r="C9" s="2" t="inlineStr">
        <is>
          <t>Leathery</t>
        </is>
      </c>
      <c r="D9" s="3" t="n">
        <v>0.1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Apparel_TortureCrown</t>
        </is>
      </c>
      <c r="B10" s="2" t="inlineStr">
        <is>
          <t>Metallic,Woody</t>
        </is>
      </c>
      <c r="C10" s="2" t="inlineStr">
        <is>
          <t>Metallic</t>
        </is>
      </c>
      <c r="D10" s="3" t="n">
        <v>0.15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Apparel_KidRomper</t>
        </is>
      </c>
      <c r="B2" s="2" t="inlineStr">
        <is>
          <t>Fabric,Leathery</t>
        </is>
      </c>
      <c r="C2" s="2" t="inlineStr">
        <is>
          <t>Leathery</t>
        </is>
      </c>
      <c r="D2" s="3" t="n">
        <v>0.2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Apparel_KidShirt</t>
        </is>
      </c>
      <c r="B3" s="2" t="inlineStr">
        <is>
          <t>Fabric,Leathery</t>
        </is>
      </c>
      <c r="C3" s="2" t="inlineStr">
        <is>
          <t>Leathery</t>
        </is>
      </c>
      <c r="D3" s="3" t="n">
        <v>0.2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Apparel_KidPants</t>
        </is>
      </c>
      <c r="B4" s="2" t="inlineStr">
        <is>
          <t>Fabric,Leathery</t>
        </is>
      </c>
      <c r="C4" s="2" t="inlineStr">
        <is>
          <t>Leathery</t>
        </is>
      </c>
      <c r="D4" s="3" t="n">
        <v>0.2</v>
      </c>
      <c r="E4" s="3" t="n">
        <v>0</v>
      </c>
      <c r="F4" s="3" t="n">
        <v>0</v>
      </c>
      <c r="G4" s="3" t="n">
        <v>0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Apparel_KidParka</t>
        </is>
      </c>
      <c r="B5" s="2" t="inlineStr">
        <is>
          <t>Fabric,Leathery</t>
        </is>
      </c>
      <c r="C5" s="2" t="inlineStr">
        <is>
          <t>Leathery</t>
        </is>
      </c>
      <c r="D5" s="3" t="n">
        <v>0.2</v>
      </c>
      <c r="E5" s="3" t="n">
        <v>0</v>
      </c>
      <c r="F5" s="3" t="n">
        <v>0</v>
      </c>
      <c r="G5" s="3" t="n">
        <v>0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Apparel_KidTribal</t>
        </is>
      </c>
      <c r="B6" s="2" t="inlineStr">
        <is>
          <t>Fabric,Leathery</t>
        </is>
      </c>
      <c r="C6" s="2" t="inlineStr">
        <is>
          <t>Leathery</t>
        </is>
      </c>
      <c r="D6" s="3" t="n">
        <v>0.2</v>
      </c>
      <c r="E6" s="3" t="n">
        <v>0</v>
      </c>
      <c r="F6" s="3" t="n">
        <v>0</v>
      </c>
      <c r="G6" s="3" t="n">
        <v>0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Apparel_KidHelmet</t>
        </is>
      </c>
      <c r="B7" s="2" t="inlineStr">
        <is>
          <t>Metallic</t>
        </is>
      </c>
      <c r="C7" s="2" t="inlineStr">
        <is>
          <t>Metallic</t>
        </is>
      </c>
      <c r="D7" s="3" t="n">
        <v>0.5</v>
      </c>
      <c r="E7" s="3" t="n">
        <v>0</v>
      </c>
      <c r="F7" s="3" t="n">
        <v>0</v>
      </c>
      <c r="G7" s="3" t="n">
        <v>0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Apparel_AirwireHeadset</t>
        </is>
      </c>
      <c r="B8" s="2" t="inlineStr">
        <is>
          <t>Fixed</t>
        </is>
      </c>
      <c r="C8" s="2" t="inlineStr">
        <is>
          <t>Fixed</t>
        </is>
      </c>
      <c r="D8" s="3" t="n">
        <v>0</v>
      </c>
      <c r="E8" s="3" t="n">
        <v>0</v>
      </c>
      <c r="F8" s="3" t="n">
        <v>0</v>
      </c>
      <c r="G8" s="3" t="n">
        <v>0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Apparel_ArrayHeadset</t>
        </is>
      </c>
      <c r="B9" s="2" t="inlineStr">
        <is>
          <t>Fixed</t>
        </is>
      </c>
      <c r="C9" s="2" t="inlineStr">
        <is>
          <t>Fixed</t>
        </is>
      </c>
      <c r="D9" s="3" t="n">
        <v>0</v>
      </c>
      <c r="E9" s="3" t="n">
        <v>0</v>
      </c>
      <c r="F9" s="3" t="n">
        <v>0</v>
      </c>
      <c r="G9" s="3" t="n">
        <v>0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Apparel_IntegratorHeadset</t>
        </is>
      </c>
      <c r="B10" s="2" t="inlineStr">
        <is>
          <t>Fixed</t>
        </is>
      </c>
      <c r="C10" s="2" t="inlineStr">
        <is>
          <t>Fixed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Apparel_HeavyShield</t>
        </is>
      </c>
      <c r="B11" s="2" t="inlineStr">
        <is>
          <t>Fixed</t>
        </is>
      </c>
      <c r="C11" s="2" t="inlineStr">
        <is>
          <t>Fixed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Apparel_MechlordSuit</t>
        </is>
      </c>
      <c r="B12" s="2" t="inlineStr">
        <is>
          <t>Fixed</t>
        </is>
      </c>
      <c r="C12" s="2" t="inlineStr">
        <is>
          <t>Fixed</t>
        </is>
      </c>
      <c r="D12" s="3" t="n">
        <v>0</v>
      </c>
      <c r="E12" s="3" t="n">
        <v>0.92</v>
      </c>
      <c r="F12" s="3" t="n">
        <v>0.4</v>
      </c>
      <c r="G12" s="3" t="n">
        <v>0.46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Apparel_Bandolier</t>
        </is>
      </c>
      <c r="B13" s="2" t="inlineStr">
        <is>
          <t>Fabric,Leathery</t>
        </is>
      </c>
      <c r="C13" s="2" t="inlineStr">
        <is>
          <t>Leathery</t>
        </is>
      </c>
      <c r="D13" s="3" t="n">
        <v>0.1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Apparel_Sash</t>
        </is>
      </c>
      <c r="B14" s="2" t="inlineStr">
        <is>
          <t>Fabric,Leathery</t>
        </is>
      </c>
      <c r="C14" s="2" t="inlineStr">
        <is>
          <t>Leathery</t>
        </is>
      </c>
      <c r="D14" s="3" t="n">
        <v>0.1</v>
      </c>
      <c r="E14" s="3" t="n">
        <v>0</v>
      </c>
      <c r="F14" s="3" t="n">
        <v>0</v>
      </c>
      <c r="G14" s="3" t="n">
        <v>0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</sheetData>
  <autoFilter ref="A1:M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Apparel_LabCoat</t>
        </is>
      </c>
      <c r="B2" s="2" t="inlineStr">
        <is>
          <t>Fabric,Leathery</t>
        </is>
      </c>
      <c r="C2" s="2" t="inlineStr">
        <is>
          <t>Leathery</t>
        </is>
      </c>
      <c r="D2" s="3" t="n">
        <v>0.2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</sheetData>
  <autoFilter ref="A1:M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Apparel_Vacsuit</t>
        </is>
      </c>
      <c r="B2" s="2" t="inlineStr">
        <is>
          <t>Fixed</t>
        </is>
      </c>
      <c r="C2" s="2" t="inlineStr">
        <is>
          <t>Fixed</t>
        </is>
      </c>
      <c r="D2" s="3" t="n">
        <v>0</v>
      </c>
      <c r="E2" s="3" t="n">
        <v>0.52</v>
      </c>
      <c r="F2" s="3" t="n">
        <v>0.25</v>
      </c>
      <c r="G2" s="3" t="n">
        <v>0.66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Apparel_VacsuitChildren</t>
        </is>
      </c>
      <c r="B3" s="2" t="inlineStr">
        <is>
          <t>Fixed</t>
        </is>
      </c>
      <c r="C3" s="2" t="inlineStr">
        <is>
          <t>Fixed</t>
        </is>
      </c>
      <c r="D3" s="3" t="n">
        <v>0</v>
      </c>
      <c r="E3" s="3" t="n">
        <v>0.52</v>
      </c>
      <c r="F3" s="3" t="n">
        <v>0.2</v>
      </c>
      <c r="G3" s="3" t="n">
        <v>0.66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</sheetData>
  <autoFilter ref="A1:M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4" customWidth="1" min="3" max="3"/>
    <col width="18" customWidth="1" min="4" max="4"/>
    <col width="9" customWidth="1" min="5" max="5"/>
    <col width="9" customWidth="1" min="6" max="6"/>
    <col width="9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defName</t>
        </is>
      </c>
      <c r="B1" s="1" t="inlineStr">
        <is>
          <t>stuffCategory</t>
        </is>
      </c>
      <c r="C1" s="1" t="inlineStr">
        <is>
          <t>categoryKey</t>
        </is>
      </c>
      <c r="D1" s="1" t="inlineStr">
        <is>
          <t>StuffEffectMult</t>
        </is>
      </c>
      <c r="E1" s="1" t="inlineStr">
        <is>
          <t>Base_S</t>
        </is>
      </c>
      <c r="F1" s="1" t="inlineStr">
        <is>
          <t>Base_B</t>
        </is>
      </c>
      <c r="G1" s="1" t="inlineStr">
        <is>
          <t>Base_H</t>
        </is>
      </c>
      <c r="H1" s="1" t="inlineStr">
        <is>
          <t>LowEnd_S</t>
        </is>
      </c>
      <c r="I1" s="1" t="inlineStr">
        <is>
          <t>LowEnd_B</t>
        </is>
      </c>
      <c r="J1" s="1" t="inlineStr">
        <is>
          <t>LowEnd_H</t>
        </is>
      </c>
      <c r="K1" s="1" t="inlineStr">
        <is>
          <t>HighEnd_S</t>
        </is>
      </c>
      <c r="L1" s="1" t="inlineStr">
        <is>
          <t>HighEnd_B</t>
        </is>
      </c>
      <c r="M1" s="1" t="inlineStr">
        <is>
          <t>HighEnd_H</t>
        </is>
      </c>
    </row>
    <row r="2">
      <c r="A2" s="2" t="inlineStr">
        <is>
          <t>Apparel_WarMask</t>
        </is>
      </c>
      <c r="B2" s="2" t="inlineStr">
        <is>
          <t>Woody</t>
        </is>
      </c>
      <c r="C2" s="2" t="inlineStr">
        <is>
          <t>Woody</t>
        </is>
      </c>
      <c r="D2" s="3" t="n">
        <v>0.3</v>
      </c>
      <c r="E2" s="3" t="n">
        <v>0</v>
      </c>
      <c r="F2" s="3" t="n">
        <v>0</v>
      </c>
      <c r="G2" s="3" t="n">
        <v>0</v>
      </c>
      <c r="H2" s="3">
        <f>ROUND((E2+D2*VLOOKUP(C2,Constants!$A$6:$G$11,2,0))*Constants!$B$2,2)</f>
        <v/>
      </c>
      <c r="I2" s="3">
        <f>ROUND((F2+D2*VLOOKUP(C2,Constants!$A$6:$G$11,3,0))*Constants!$B$2,2)</f>
        <v/>
      </c>
      <c r="J2" s="3">
        <f>ROUND((G2+D2*VLOOKUP(C2,Constants!$A$6:$G$11,4,0))*Constants!$B$2,2)</f>
        <v/>
      </c>
      <c r="K2" s="3">
        <f>ROUND((E2+D2*VLOOKUP(C2,Constants!$A$6:$G$11,5,0))*Constants!$B$1,2)</f>
        <v/>
      </c>
      <c r="L2" s="3">
        <f>ROUND((F2+D2*VLOOKUP(C2,Constants!$A$6:$G$11,6,0))*Constants!$B$1,2)</f>
        <v/>
      </c>
      <c r="M2" s="3">
        <f>ROUND((G2+D2*VLOOKUP(C2,Constants!$A$6:$G$11,7,0))*Constants!$B$1,2)</f>
        <v/>
      </c>
    </row>
    <row r="3">
      <c r="A3" s="2" t="inlineStr">
        <is>
          <t>Apparel_WarVeil</t>
        </is>
      </c>
      <c r="B3" s="2" t="inlineStr">
        <is>
          <t>Fabric</t>
        </is>
      </c>
      <c r="C3" s="2" t="inlineStr">
        <is>
          <t>Leathery</t>
        </is>
      </c>
      <c r="D3" s="3" t="n">
        <v>0.2</v>
      </c>
      <c r="E3" s="3" t="n">
        <v>0</v>
      </c>
      <c r="F3" s="3" t="n">
        <v>0</v>
      </c>
      <c r="G3" s="3" t="n">
        <v>0</v>
      </c>
      <c r="H3" s="3">
        <f>ROUND((E3+D3*VLOOKUP(C3,Constants!$A$6:$G$11,2,0))*Constants!$B$2,2)</f>
        <v/>
      </c>
      <c r="I3" s="3">
        <f>ROUND((F3+D3*VLOOKUP(C3,Constants!$A$6:$G$11,3,0))*Constants!$B$2,2)</f>
        <v/>
      </c>
      <c r="J3" s="3">
        <f>ROUND((G3+D3*VLOOKUP(C3,Constants!$A$6:$G$11,4,0))*Constants!$B$2,2)</f>
        <v/>
      </c>
      <c r="K3" s="3">
        <f>ROUND((E3+D3*VLOOKUP(C3,Constants!$A$6:$G$11,5,0))*Constants!$B$1,2)</f>
        <v/>
      </c>
      <c r="L3" s="3">
        <f>ROUND((F3+D3*VLOOKUP(C3,Constants!$A$6:$G$11,6,0))*Constants!$B$1,2)</f>
        <v/>
      </c>
      <c r="M3" s="3">
        <f>ROUND((G3+D3*VLOOKUP(C3,Constants!$A$6:$G$11,7,0))*Constants!$B$1,2)</f>
        <v/>
      </c>
    </row>
    <row r="4">
      <c r="A4" s="2" t="inlineStr">
        <is>
          <t>Apparel_PowerArmorHelmet</t>
        </is>
      </c>
      <c r="B4" s="2" t="inlineStr">
        <is>
          <t>Fixed</t>
        </is>
      </c>
      <c r="C4" s="2" t="inlineStr">
        <is>
          <t>Fixed</t>
        </is>
      </c>
      <c r="D4" s="3" t="n">
        <v>0</v>
      </c>
      <c r="E4" s="3" t="n">
        <v>1.06</v>
      </c>
      <c r="F4" s="3" t="n">
        <v>0.45</v>
      </c>
      <c r="G4" s="3" t="n">
        <v>0.54</v>
      </c>
      <c r="H4" s="3">
        <f>ROUND((E4+D4*VLOOKUP(C4,Constants!$A$6:$G$11,2,0))*Constants!$B$2,2)</f>
        <v/>
      </c>
      <c r="I4" s="3">
        <f>ROUND((F4+D4*VLOOKUP(C4,Constants!$A$6:$G$11,3,0))*Constants!$B$2,2)</f>
        <v/>
      </c>
      <c r="J4" s="3">
        <f>ROUND((G4+D4*VLOOKUP(C4,Constants!$A$6:$G$11,4,0))*Constants!$B$2,2)</f>
        <v/>
      </c>
      <c r="K4" s="3">
        <f>ROUND((E4+D4*VLOOKUP(C4,Constants!$A$6:$G$11,5,0))*Constants!$B$1,2)</f>
        <v/>
      </c>
      <c r="L4" s="3">
        <f>ROUND((F4+D4*VLOOKUP(C4,Constants!$A$6:$G$11,6,0))*Constants!$B$1,2)</f>
        <v/>
      </c>
      <c r="M4" s="3">
        <f>ROUND((G4+D4*VLOOKUP(C4,Constants!$A$6:$G$11,7,0))*Constants!$B$1,2)</f>
        <v/>
      </c>
    </row>
    <row r="5">
      <c r="A5" s="2" t="inlineStr">
        <is>
          <t>Apparel_ArmorHelmetRecon</t>
        </is>
      </c>
      <c r="B5" s="2" t="inlineStr">
        <is>
          <t>Fixed</t>
        </is>
      </c>
      <c r="C5" s="2" t="inlineStr">
        <is>
          <t>Fixed</t>
        </is>
      </c>
      <c r="D5" s="3" t="n">
        <v>0</v>
      </c>
      <c r="E5" s="3" t="n">
        <v>0.92</v>
      </c>
      <c r="F5" s="3" t="n">
        <v>0.4</v>
      </c>
      <c r="G5" s="3" t="n">
        <v>0.46</v>
      </c>
      <c r="H5" s="3">
        <f>ROUND((E5+D5*VLOOKUP(C5,Constants!$A$6:$G$11,2,0))*Constants!$B$2,2)</f>
        <v/>
      </c>
      <c r="I5" s="3">
        <f>ROUND((F5+D5*VLOOKUP(C5,Constants!$A$6:$G$11,3,0))*Constants!$B$2,2)</f>
        <v/>
      </c>
      <c r="J5" s="3">
        <f>ROUND((G5+D5*VLOOKUP(C5,Constants!$A$6:$G$11,4,0))*Constants!$B$2,2)</f>
        <v/>
      </c>
      <c r="K5" s="3">
        <f>ROUND((E5+D5*VLOOKUP(C5,Constants!$A$6:$G$11,5,0))*Constants!$B$1,2)</f>
        <v/>
      </c>
      <c r="L5" s="3">
        <f>ROUND((F5+D5*VLOOKUP(C5,Constants!$A$6:$G$11,6,0))*Constants!$B$1,2)</f>
        <v/>
      </c>
      <c r="M5" s="3">
        <f>ROUND((G5+D5*VLOOKUP(C5,Constants!$A$6:$G$11,7,0))*Constants!$B$1,2)</f>
        <v/>
      </c>
    </row>
    <row r="6">
      <c r="A6" s="2" t="inlineStr">
        <is>
          <t>Apparel_ArmorHelmetReconPrestige</t>
        </is>
      </c>
      <c r="B6" s="2" t="inlineStr">
        <is>
          <t>Fixed</t>
        </is>
      </c>
      <c r="C6" s="2" t="inlineStr">
        <is>
          <t>Fixed</t>
        </is>
      </c>
      <c r="D6" s="3" t="n">
        <v>0</v>
      </c>
      <c r="E6" s="3" t="n">
        <v>0.92</v>
      </c>
      <c r="F6" s="3" t="n">
        <v>0.4</v>
      </c>
      <c r="G6" s="3" t="n">
        <v>0.46</v>
      </c>
      <c r="H6" s="3">
        <f>ROUND((E6+D6*VLOOKUP(C6,Constants!$A$6:$G$11,2,0))*Constants!$B$2,2)</f>
        <v/>
      </c>
      <c r="I6" s="3">
        <f>ROUND((F6+D6*VLOOKUP(C6,Constants!$A$6:$G$11,3,0))*Constants!$B$2,2)</f>
        <v/>
      </c>
      <c r="J6" s="3">
        <f>ROUND((G6+D6*VLOOKUP(C6,Constants!$A$6:$G$11,4,0))*Constants!$B$2,2)</f>
        <v/>
      </c>
      <c r="K6" s="3">
        <f>ROUND((E6+D6*VLOOKUP(C6,Constants!$A$6:$G$11,5,0))*Constants!$B$1,2)</f>
        <v/>
      </c>
      <c r="L6" s="3">
        <f>ROUND((F6+D6*VLOOKUP(C6,Constants!$A$6:$G$11,6,0))*Constants!$B$1,2)</f>
        <v/>
      </c>
      <c r="M6" s="3">
        <f>ROUND((G6+D6*VLOOKUP(C6,Constants!$A$6:$G$11,7,0))*Constants!$B$1,2)</f>
        <v/>
      </c>
    </row>
    <row r="7">
      <c r="A7" s="2" t="inlineStr">
        <is>
          <t>Apparel_ArmorMarineHelmetPrestige</t>
        </is>
      </c>
      <c r="B7" s="2" t="inlineStr">
        <is>
          <t>Fixed</t>
        </is>
      </c>
      <c r="C7" s="2" t="inlineStr">
        <is>
          <t>Fixed</t>
        </is>
      </c>
      <c r="D7" s="3" t="n">
        <v>0</v>
      </c>
      <c r="E7" s="3" t="n">
        <v>1.06</v>
      </c>
      <c r="F7" s="3" t="n">
        <v>0.45</v>
      </c>
      <c r="G7" s="3" t="n">
        <v>0.54</v>
      </c>
      <c r="H7" s="3">
        <f>ROUND((E7+D7*VLOOKUP(C7,Constants!$A$6:$G$11,2,0))*Constants!$B$2,2)</f>
        <v/>
      </c>
      <c r="I7" s="3">
        <f>ROUND((F7+D7*VLOOKUP(C7,Constants!$A$6:$G$11,3,0))*Constants!$B$2,2)</f>
        <v/>
      </c>
      <c r="J7" s="3">
        <f>ROUND((G7+D7*VLOOKUP(C7,Constants!$A$6:$G$11,4,0))*Constants!$B$2,2)</f>
        <v/>
      </c>
      <c r="K7" s="3">
        <f>ROUND((E7+D7*VLOOKUP(C7,Constants!$A$6:$G$11,5,0))*Constants!$B$1,2)</f>
        <v/>
      </c>
      <c r="L7" s="3">
        <f>ROUND((F7+D7*VLOOKUP(C7,Constants!$A$6:$G$11,6,0))*Constants!$B$1,2)</f>
        <v/>
      </c>
      <c r="M7" s="3">
        <f>ROUND((G7+D7*VLOOKUP(C7,Constants!$A$6:$G$11,7,0))*Constants!$B$1,2)</f>
        <v/>
      </c>
    </row>
    <row r="8">
      <c r="A8" s="2" t="inlineStr">
        <is>
          <t>Apparel_ArmorHelmetCataphract</t>
        </is>
      </c>
      <c r="B8" s="2" t="inlineStr">
        <is>
          <t>Fixed</t>
        </is>
      </c>
      <c r="C8" s="2" t="inlineStr">
        <is>
          <t>Fixed</t>
        </is>
      </c>
      <c r="D8" s="3" t="n">
        <v>0</v>
      </c>
      <c r="E8" s="3" t="n">
        <v>1.2</v>
      </c>
      <c r="F8" s="3" t="n">
        <v>0.5</v>
      </c>
      <c r="G8" s="3" t="n">
        <v>0.6</v>
      </c>
      <c r="H8" s="3">
        <f>ROUND((E8+D8*VLOOKUP(C8,Constants!$A$6:$G$11,2,0))*Constants!$B$2,2)</f>
        <v/>
      </c>
      <c r="I8" s="3">
        <f>ROUND((F8+D8*VLOOKUP(C8,Constants!$A$6:$G$11,3,0))*Constants!$B$2,2)</f>
        <v/>
      </c>
      <c r="J8" s="3">
        <f>ROUND((G8+D8*VLOOKUP(C8,Constants!$A$6:$G$11,4,0))*Constants!$B$2,2)</f>
        <v/>
      </c>
      <c r="K8" s="3">
        <f>ROUND((E8+D8*VLOOKUP(C8,Constants!$A$6:$G$11,5,0))*Constants!$B$1,2)</f>
        <v/>
      </c>
      <c r="L8" s="3">
        <f>ROUND((F8+D8*VLOOKUP(C8,Constants!$A$6:$G$11,6,0))*Constants!$B$1,2)</f>
        <v/>
      </c>
      <c r="M8" s="3">
        <f>ROUND((G8+D8*VLOOKUP(C8,Constants!$A$6:$G$11,7,0))*Constants!$B$1,2)</f>
        <v/>
      </c>
    </row>
    <row r="9">
      <c r="A9" s="2" t="inlineStr">
        <is>
          <t>Apparel_ArmorHelmetCataphractPrestige</t>
        </is>
      </c>
      <c r="B9" s="2" t="inlineStr">
        <is>
          <t>Fixed</t>
        </is>
      </c>
      <c r="C9" s="2" t="inlineStr">
        <is>
          <t>Fixed</t>
        </is>
      </c>
      <c r="D9" s="3" t="n">
        <v>0</v>
      </c>
      <c r="E9" s="3" t="n">
        <v>1.2</v>
      </c>
      <c r="F9" s="3" t="n">
        <v>0.5</v>
      </c>
      <c r="G9" s="3" t="n">
        <v>0.6</v>
      </c>
      <c r="H9" s="3">
        <f>ROUND((E9+D9*VLOOKUP(C9,Constants!$A$6:$G$11,2,0))*Constants!$B$2,2)</f>
        <v/>
      </c>
      <c r="I9" s="3">
        <f>ROUND((F9+D9*VLOOKUP(C9,Constants!$A$6:$G$11,3,0))*Constants!$B$2,2)</f>
        <v/>
      </c>
      <c r="J9" s="3">
        <f>ROUND((G9+D9*VLOOKUP(C9,Constants!$A$6:$G$11,4,0))*Constants!$B$2,2)</f>
        <v/>
      </c>
      <c r="K9" s="3">
        <f>ROUND((E9+D9*VLOOKUP(C9,Constants!$A$6:$G$11,5,0))*Constants!$B$1,2)</f>
        <v/>
      </c>
      <c r="L9" s="3">
        <f>ROUND((F9+D9*VLOOKUP(C9,Constants!$A$6:$G$11,6,0))*Constants!$B$1,2)</f>
        <v/>
      </c>
      <c r="M9" s="3">
        <f>ROUND((G9+D9*VLOOKUP(C9,Constants!$A$6:$G$11,7,0))*Constants!$B$1,2)</f>
        <v/>
      </c>
    </row>
    <row r="10">
      <c r="A10" s="2" t="inlineStr">
        <is>
          <t>Apparel_Broadwrap</t>
        </is>
      </c>
      <c r="B10" s="2" t="inlineStr">
        <is>
          <t>Fabric</t>
        </is>
      </c>
      <c r="C10" s="2" t="inlineStr">
        <is>
          <t>Leathery</t>
        </is>
      </c>
      <c r="D10" s="3" t="n">
        <v>0.25</v>
      </c>
      <c r="E10" s="3" t="n">
        <v>0</v>
      </c>
      <c r="F10" s="3" t="n">
        <v>0</v>
      </c>
      <c r="G10" s="3" t="n">
        <v>0</v>
      </c>
      <c r="H10" s="3">
        <f>ROUND((E10+D10*VLOOKUP(C10,Constants!$A$6:$G$11,2,0))*Constants!$B$2,2)</f>
        <v/>
      </c>
      <c r="I10" s="3">
        <f>ROUND((F10+D10*VLOOKUP(C10,Constants!$A$6:$G$11,3,0))*Constants!$B$2,2)</f>
        <v/>
      </c>
      <c r="J10" s="3">
        <f>ROUND((G10+D10*VLOOKUP(C10,Constants!$A$6:$G$11,4,0))*Constants!$B$2,2)</f>
        <v/>
      </c>
      <c r="K10" s="3">
        <f>ROUND((E10+D10*VLOOKUP(C10,Constants!$A$6:$G$11,5,0))*Constants!$B$1,2)</f>
        <v/>
      </c>
      <c r="L10" s="3">
        <f>ROUND((F10+D10*VLOOKUP(C10,Constants!$A$6:$G$11,6,0))*Constants!$B$1,2)</f>
        <v/>
      </c>
      <c r="M10" s="3">
        <f>ROUND((G10+D10*VLOOKUP(C10,Constants!$A$6:$G$11,7,0))*Constants!$B$1,2)</f>
        <v/>
      </c>
    </row>
    <row r="11">
      <c r="A11" s="2" t="inlineStr">
        <is>
          <t>Apparel_VisageMask</t>
        </is>
      </c>
      <c r="B11" s="2" t="inlineStr">
        <is>
          <t>Woody,Metallic</t>
        </is>
      </c>
      <c r="C11" s="2" t="inlineStr">
        <is>
          <t>Metallic</t>
        </is>
      </c>
      <c r="D11" s="3" t="n">
        <v>0.3</v>
      </c>
      <c r="E11" s="3" t="n">
        <v>0</v>
      </c>
      <c r="F11" s="3" t="n">
        <v>0</v>
      </c>
      <c r="G11" s="3" t="n">
        <v>0</v>
      </c>
      <c r="H11" s="3">
        <f>ROUND((E11+D11*VLOOKUP(C11,Constants!$A$6:$G$11,2,0))*Constants!$B$2,2)</f>
        <v/>
      </c>
      <c r="I11" s="3">
        <f>ROUND((F11+D11*VLOOKUP(C11,Constants!$A$6:$G$11,3,0))*Constants!$B$2,2)</f>
        <v/>
      </c>
      <c r="J11" s="3">
        <f>ROUND((G11+D11*VLOOKUP(C11,Constants!$A$6:$G$11,4,0))*Constants!$B$2,2)</f>
        <v/>
      </c>
      <c r="K11" s="3">
        <f>ROUND((E11+D11*VLOOKUP(C11,Constants!$A$6:$G$11,5,0))*Constants!$B$1,2)</f>
        <v/>
      </c>
      <c r="L11" s="3">
        <f>ROUND((F11+D11*VLOOKUP(C11,Constants!$A$6:$G$11,6,0))*Constants!$B$1,2)</f>
        <v/>
      </c>
      <c r="M11" s="3">
        <f>ROUND((G11+D11*VLOOKUP(C11,Constants!$A$6:$G$11,7,0))*Constants!$B$1,2)</f>
        <v/>
      </c>
    </row>
    <row r="12">
      <c r="A12" s="2" t="inlineStr">
        <is>
          <t>Apparel_Burka</t>
        </is>
      </c>
      <c r="B12" s="2" t="inlineStr">
        <is>
          <t>Fabric</t>
        </is>
      </c>
      <c r="C12" s="2" t="inlineStr">
        <is>
          <t>Leathery</t>
        </is>
      </c>
      <c r="D12" s="3" t="n">
        <v>0.2</v>
      </c>
      <c r="E12" s="3" t="n">
        <v>0</v>
      </c>
      <c r="F12" s="3" t="n">
        <v>0</v>
      </c>
      <c r="G12" s="3" t="n">
        <v>0</v>
      </c>
      <c r="H12" s="3">
        <f>ROUND((E12+D12*VLOOKUP(C12,Constants!$A$6:$G$11,2,0))*Constants!$B$2,2)</f>
        <v/>
      </c>
      <c r="I12" s="3">
        <f>ROUND((F12+D12*VLOOKUP(C12,Constants!$A$6:$G$11,3,0))*Constants!$B$2,2)</f>
        <v/>
      </c>
      <c r="J12" s="3">
        <f>ROUND((G12+D12*VLOOKUP(C12,Constants!$A$6:$G$11,4,0))*Constants!$B$2,2)</f>
        <v/>
      </c>
      <c r="K12" s="3">
        <f>ROUND((E12+D12*VLOOKUP(C12,Constants!$A$6:$G$11,5,0))*Constants!$B$1,2)</f>
        <v/>
      </c>
      <c r="L12" s="3">
        <f>ROUND((F12+D12*VLOOKUP(C12,Constants!$A$6:$G$11,6,0))*Constants!$B$1,2)</f>
        <v/>
      </c>
      <c r="M12" s="3">
        <f>ROUND((G12+D12*VLOOKUP(C12,Constants!$A$6:$G$11,7,0))*Constants!$B$1,2)</f>
        <v/>
      </c>
    </row>
    <row r="13">
      <c r="A13" s="2" t="inlineStr">
        <is>
          <t>Apparel_Blindfold</t>
        </is>
      </c>
      <c r="B13" s="2" t="inlineStr">
        <is>
          <t>Fabric</t>
        </is>
      </c>
      <c r="C13" s="2" t="inlineStr">
        <is>
          <t>Leathery</t>
        </is>
      </c>
      <c r="D13" s="3" t="n">
        <v>0.1</v>
      </c>
      <c r="E13" s="3" t="n">
        <v>0</v>
      </c>
      <c r="F13" s="3" t="n">
        <v>0</v>
      </c>
      <c r="G13" s="3" t="n">
        <v>0</v>
      </c>
      <c r="H13" s="3">
        <f>ROUND((E13+D13*VLOOKUP(C13,Constants!$A$6:$G$11,2,0))*Constants!$B$2,2)</f>
        <v/>
      </c>
      <c r="I13" s="3">
        <f>ROUND((F13+D13*VLOOKUP(C13,Constants!$A$6:$G$11,3,0))*Constants!$B$2,2)</f>
        <v/>
      </c>
      <c r="J13" s="3">
        <f>ROUND((G13+D13*VLOOKUP(C13,Constants!$A$6:$G$11,4,0))*Constants!$B$2,2)</f>
        <v/>
      </c>
      <c r="K13" s="3">
        <f>ROUND((E13+D13*VLOOKUP(C13,Constants!$A$6:$G$11,5,0))*Constants!$B$1,2)</f>
        <v/>
      </c>
      <c r="L13" s="3">
        <f>ROUND((F13+D13*VLOOKUP(C13,Constants!$A$6:$G$11,6,0))*Constants!$B$1,2)</f>
        <v/>
      </c>
      <c r="M13" s="3">
        <f>ROUND((G13+D13*VLOOKUP(C13,Constants!$A$6:$G$11,7,0))*Constants!$B$1,2)</f>
        <v/>
      </c>
    </row>
    <row r="14">
      <c r="A14" s="2" t="inlineStr">
        <is>
          <t>Apparel_ArmorHelmetMechCommander</t>
        </is>
      </c>
      <c r="B14" s="2" t="inlineStr">
        <is>
          <t>Fixed</t>
        </is>
      </c>
      <c r="C14" s="2" t="inlineStr">
        <is>
          <t>Fixed</t>
        </is>
      </c>
      <c r="D14" s="3" t="n">
        <v>0</v>
      </c>
      <c r="E14" s="3" t="n">
        <v>0.6899999999999999</v>
      </c>
      <c r="F14" s="3" t="n">
        <v>0.3</v>
      </c>
      <c r="G14" s="3" t="n">
        <v>0.34</v>
      </c>
      <c r="H14" s="3">
        <f>ROUND((E14+D14*VLOOKUP(C14,Constants!$A$6:$G$11,2,0))*Constants!$B$2,2)</f>
        <v/>
      </c>
      <c r="I14" s="3">
        <f>ROUND((F14+D14*VLOOKUP(C14,Constants!$A$6:$G$11,3,0))*Constants!$B$2,2)</f>
        <v/>
      </c>
      <c r="J14" s="3">
        <f>ROUND((G14+D14*VLOOKUP(C14,Constants!$A$6:$G$11,4,0))*Constants!$B$2,2)</f>
        <v/>
      </c>
      <c r="K14" s="3">
        <f>ROUND((E14+D14*VLOOKUP(C14,Constants!$A$6:$G$11,5,0))*Constants!$B$1,2)</f>
        <v/>
      </c>
      <c r="L14" s="3">
        <f>ROUND((F14+D14*VLOOKUP(C14,Constants!$A$6:$G$11,6,0))*Constants!$B$1,2)</f>
        <v/>
      </c>
      <c r="M14" s="3">
        <f>ROUND((G14+D14*VLOOKUP(C14,Constants!$A$6:$G$11,7,0))*Constants!$B$1,2)</f>
        <v/>
      </c>
    </row>
    <row r="15">
      <c r="A15" s="2" t="inlineStr">
        <is>
          <t>Apparel_ArmorHelmetMechlordHelmet</t>
        </is>
      </c>
      <c r="B15" s="2" t="inlineStr">
        <is>
          <t>Fixed</t>
        </is>
      </c>
      <c r="C15" s="2" t="inlineStr">
        <is>
          <t>Fixed</t>
        </is>
      </c>
      <c r="D15" s="3" t="n">
        <v>0</v>
      </c>
      <c r="E15" s="3" t="n">
        <v>0.92</v>
      </c>
      <c r="F15" s="3" t="n">
        <v>0.4</v>
      </c>
      <c r="G15" s="3" t="n">
        <v>0.46</v>
      </c>
      <c r="H15" s="3">
        <f>ROUND((E15+D15*VLOOKUP(C15,Constants!$A$6:$G$11,2,0))*Constants!$B$2,2)</f>
        <v/>
      </c>
      <c r="I15" s="3">
        <f>ROUND((F15+D15*VLOOKUP(C15,Constants!$A$6:$G$11,3,0))*Constants!$B$2,2)</f>
        <v/>
      </c>
      <c r="J15" s="3">
        <f>ROUND((G15+D15*VLOOKUP(C15,Constants!$A$6:$G$11,4,0))*Constants!$B$2,2)</f>
        <v/>
      </c>
      <c r="K15" s="3">
        <f>ROUND((E15+D15*VLOOKUP(C15,Constants!$A$6:$G$11,5,0))*Constants!$B$1,2)</f>
        <v/>
      </c>
      <c r="L15" s="3">
        <f>ROUND((F15+D15*VLOOKUP(C15,Constants!$A$6:$G$11,6,0))*Constants!$B$1,2)</f>
        <v/>
      </c>
      <c r="M15" s="3">
        <f>ROUND((G15+D15*VLOOKUP(C15,Constants!$A$6:$G$11,7,0))*Constants!$B$1,2)</f>
        <v/>
      </c>
    </row>
    <row r="16">
      <c r="A16" s="2" t="inlineStr">
        <is>
          <t>Apparel_GasMask</t>
        </is>
      </c>
      <c r="B16" s="2" t="inlineStr">
        <is>
          <t>Fixed</t>
        </is>
      </c>
      <c r="C16" s="2" t="inlineStr">
        <is>
          <t>Fixed</t>
        </is>
      </c>
      <c r="D16" s="3" t="n">
        <v>0</v>
      </c>
      <c r="E16" s="3" t="n">
        <v>0.18</v>
      </c>
      <c r="F16" s="3" t="n">
        <v>0.3</v>
      </c>
      <c r="G16" s="3" t="n">
        <v>0</v>
      </c>
      <c r="H16" s="3">
        <f>ROUND((E16+D16*VLOOKUP(C16,Constants!$A$6:$G$11,2,0))*Constants!$B$2,2)</f>
        <v/>
      </c>
      <c r="I16" s="3">
        <f>ROUND((F16+D16*VLOOKUP(C16,Constants!$A$6:$G$11,3,0))*Constants!$B$2,2)</f>
        <v/>
      </c>
      <c r="J16" s="3">
        <f>ROUND((G16+D16*VLOOKUP(C16,Constants!$A$6:$G$11,4,0))*Constants!$B$2,2)</f>
        <v/>
      </c>
      <c r="K16" s="3">
        <f>ROUND((E16+D16*VLOOKUP(C16,Constants!$A$6:$G$11,5,0))*Constants!$B$1,2)</f>
        <v/>
      </c>
      <c r="L16" s="3">
        <f>ROUND((F16+D16*VLOOKUP(C16,Constants!$A$6:$G$11,6,0))*Constants!$B$1,2)</f>
        <v/>
      </c>
      <c r="M16" s="3">
        <f>ROUND((G16+D16*VLOOKUP(C16,Constants!$A$6:$G$11,7,0))*Constants!$B$1,2)</f>
        <v/>
      </c>
    </row>
    <row r="17">
      <c r="A17" s="2" t="inlineStr">
        <is>
          <t>Apparel_CultistMask</t>
        </is>
      </c>
      <c r="B17" s="2" t="inlineStr">
        <is>
          <t>Bioferrite</t>
        </is>
      </c>
      <c r="C17" s="2" t="inlineStr">
        <is>
          <t>Bioferrite</t>
        </is>
      </c>
      <c r="D17" s="3" t="n">
        <v>0.3</v>
      </c>
      <c r="E17" s="3" t="n">
        <v>0</v>
      </c>
      <c r="F17" s="3" t="n">
        <v>0</v>
      </c>
      <c r="G17" s="3" t="n">
        <v>0</v>
      </c>
      <c r="H17" s="3">
        <f>ROUND((E17+D17*VLOOKUP(C17,Constants!$A$6:$G$11,2,0))*Constants!$B$2,2)</f>
        <v/>
      </c>
      <c r="I17" s="3">
        <f>ROUND((F17+D17*VLOOKUP(C17,Constants!$A$6:$G$11,3,0))*Constants!$B$2,2)</f>
        <v/>
      </c>
      <c r="J17" s="3">
        <f>ROUND((G17+D17*VLOOKUP(C17,Constants!$A$6:$G$11,4,0))*Constants!$B$2,2)</f>
        <v/>
      </c>
      <c r="K17" s="3">
        <f>ROUND((E17+D17*VLOOKUP(C17,Constants!$A$6:$G$11,5,0))*Constants!$B$1,2)</f>
        <v/>
      </c>
      <c r="L17" s="3">
        <f>ROUND((F17+D17*VLOOKUP(C17,Constants!$A$6:$G$11,6,0))*Constants!$B$1,2)</f>
        <v/>
      </c>
      <c r="M17" s="3">
        <f>ROUND((G17+D17*VLOOKUP(C17,Constants!$A$6:$G$11,7,0))*Constants!$B$1,2)</f>
        <v/>
      </c>
    </row>
    <row r="18">
      <c r="A18" s="2" t="inlineStr">
        <is>
          <t>Apparel_CeremonialCultistMask</t>
        </is>
      </c>
      <c r="B18" s="2" t="inlineStr">
        <is>
          <t>Fabric</t>
        </is>
      </c>
      <c r="C18" s="2" t="inlineStr">
        <is>
          <t>Leathery</t>
        </is>
      </c>
      <c r="D18" s="3" t="n">
        <v>0.4</v>
      </c>
      <c r="E18" s="3" t="n">
        <v>0</v>
      </c>
      <c r="F18" s="3" t="n">
        <v>0</v>
      </c>
      <c r="G18" s="3" t="n">
        <v>0</v>
      </c>
      <c r="H18" s="3">
        <f>ROUND((E18+D18*VLOOKUP(C18,Constants!$A$6:$G$11,2,0))*Constants!$B$2,2)</f>
        <v/>
      </c>
      <c r="I18" s="3">
        <f>ROUND((F18+D18*VLOOKUP(C18,Constants!$A$6:$G$11,3,0))*Constants!$B$2,2)</f>
        <v/>
      </c>
      <c r="J18" s="3">
        <f>ROUND((G18+D18*VLOOKUP(C18,Constants!$A$6:$G$11,4,0))*Constants!$B$2,2)</f>
        <v/>
      </c>
      <c r="K18" s="3">
        <f>ROUND((E18+D18*VLOOKUP(C18,Constants!$A$6:$G$11,5,0))*Constants!$B$1,2)</f>
        <v/>
      </c>
      <c r="L18" s="3">
        <f>ROUND((F18+D18*VLOOKUP(C18,Constants!$A$6:$G$11,6,0))*Constants!$B$1,2)</f>
        <v/>
      </c>
      <c r="M18" s="3">
        <f>ROUND((G18+D18*VLOOKUP(C18,Constants!$A$6:$G$11,7,0))*Constants!$B$1,2)</f>
        <v/>
      </c>
    </row>
    <row r="19">
      <c r="A19" s="2" t="inlineStr">
        <is>
          <t>Apparel_VacsuitHelmet</t>
        </is>
      </c>
      <c r="B19" s="2" t="inlineStr">
        <is>
          <t>Fixed</t>
        </is>
      </c>
      <c r="C19" s="2" t="inlineStr">
        <is>
          <t>Fixed</t>
        </is>
      </c>
      <c r="D19" s="3" t="n">
        <v>0</v>
      </c>
      <c r="E19" s="3" t="n">
        <v>0.52</v>
      </c>
      <c r="F19" s="3" t="n">
        <v>0.24</v>
      </c>
      <c r="G19" s="3" t="n">
        <v>0.66</v>
      </c>
      <c r="H19" s="3">
        <f>ROUND((E19+D19*VLOOKUP(C19,Constants!$A$6:$G$11,2,0))*Constants!$B$2,2)</f>
        <v/>
      </c>
      <c r="I19" s="3">
        <f>ROUND((F19+D19*VLOOKUP(C19,Constants!$A$6:$G$11,3,0))*Constants!$B$2,2)</f>
        <v/>
      </c>
      <c r="J19" s="3">
        <f>ROUND((G19+D19*VLOOKUP(C19,Constants!$A$6:$G$11,4,0))*Constants!$B$2,2)</f>
        <v/>
      </c>
      <c r="K19" s="3">
        <f>ROUND((E19+D19*VLOOKUP(C19,Constants!$A$6:$G$11,5,0))*Constants!$B$1,2)</f>
        <v/>
      </c>
      <c r="L19" s="3">
        <f>ROUND((F19+D19*VLOOKUP(C19,Constants!$A$6:$G$11,6,0))*Constants!$B$1,2)</f>
        <v/>
      </c>
      <c r="M19" s="3">
        <f>ROUND((G19+D19*VLOOKUP(C19,Constants!$A$6:$G$11,7,0))*Constants!$B$1,2)</f>
        <v/>
      </c>
    </row>
    <row r="20">
      <c r="A20" s="2" t="inlineStr">
        <is>
          <t>RK_PlateHelm</t>
        </is>
      </c>
      <c r="B20" s="2" t="inlineStr">
        <is>
          <t>Metallic</t>
        </is>
      </c>
      <c r="C20" s="2" t="inlineStr">
        <is>
          <t>Metallic</t>
        </is>
      </c>
      <c r="D20" s="3" t="n">
        <v>0.35</v>
      </c>
      <c r="E20" s="3" t="n">
        <v>0.4</v>
      </c>
      <c r="F20" s="3" t="n">
        <v>0.2</v>
      </c>
      <c r="G20" s="3" t="n">
        <v>0</v>
      </c>
      <c r="H20" s="3">
        <f>ROUND((E20+D20*VLOOKUP(C20,Constants!$A$6:$G$11,2,0))*Constants!$B$2,2)</f>
        <v/>
      </c>
      <c r="I20" s="3">
        <f>ROUND((F20+D20*VLOOKUP(C20,Constants!$A$6:$G$11,3,0))*Constants!$B$2,2)</f>
        <v/>
      </c>
      <c r="J20" s="3">
        <f>ROUND((G20+D20*VLOOKUP(C20,Constants!$A$6:$G$11,4,0))*Constants!$B$2,2)</f>
        <v/>
      </c>
      <c r="K20" s="3">
        <f>ROUND((E20+D20*VLOOKUP(C20,Constants!$A$6:$G$11,5,0))*Constants!$B$1,2)</f>
        <v/>
      </c>
      <c r="L20" s="3">
        <f>ROUND((F20+D20*VLOOKUP(C20,Constants!$A$6:$G$11,6,0))*Constants!$B$1,2)</f>
        <v/>
      </c>
      <c r="M20" s="3">
        <f>ROUND((G20+D20*VLOOKUP(C20,Constants!$A$6:$G$11,7,0))*Constants!$B$1,2)</f>
        <v/>
      </c>
    </row>
    <row r="21">
      <c r="A21" s="2" t="inlineStr">
        <is>
          <t>RK_Apparel_VacsuitHelmet</t>
        </is>
      </c>
      <c r="B21" s="2" t="inlineStr">
        <is>
          <t>Fixed</t>
        </is>
      </c>
      <c r="C21" s="2" t="inlineStr">
        <is>
          <t>Fixed</t>
        </is>
      </c>
      <c r="D21" s="3" t="n">
        <v>0</v>
      </c>
      <c r="E21" s="3" t="n">
        <v>0.52</v>
      </c>
      <c r="F21" s="3" t="n">
        <v>0.24</v>
      </c>
      <c r="G21" s="3" t="n">
        <v>0.66</v>
      </c>
      <c r="H21" s="3">
        <f>ROUND((E21+D21*VLOOKUP(C21,Constants!$A$6:$G$11,2,0))*Constants!$B$2,2)</f>
        <v/>
      </c>
      <c r="I21" s="3">
        <f>ROUND((F21+D21*VLOOKUP(C21,Constants!$A$6:$G$11,3,0))*Constants!$B$2,2)</f>
        <v/>
      </c>
      <c r="J21" s="3">
        <f>ROUND((G21+D21*VLOOKUP(C21,Constants!$A$6:$G$11,4,0))*Constants!$B$2,2)</f>
        <v/>
      </c>
      <c r="K21" s="3">
        <f>ROUND((E21+D21*VLOOKUP(C21,Constants!$A$6:$G$11,5,0))*Constants!$B$1,2)</f>
        <v/>
      </c>
      <c r="L21" s="3">
        <f>ROUND((F21+D21*VLOOKUP(C21,Constants!$A$6:$G$11,6,0))*Constants!$B$1,2)</f>
        <v/>
      </c>
      <c r="M21" s="3">
        <f>ROUND((G21+D21*VLOOKUP(C21,Constants!$A$6:$G$11,7,0))*Constants!$B$1,2)</f>
        <v/>
      </c>
    </row>
    <row r="22">
      <c r="A22" s="2" t="inlineStr">
        <is>
          <t>RK_Apparel_SpaceArmorHelmet</t>
        </is>
      </c>
      <c r="B22" s="2" t="inlineStr">
        <is>
          <t>Fixed</t>
        </is>
      </c>
      <c r="C22" s="2" t="inlineStr">
        <is>
          <t>Fixed</t>
        </is>
      </c>
      <c r="D22" s="3" t="n">
        <v>0</v>
      </c>
      <c r="E22" s="3" t="n">
        <v>1</v>
      </c>
      <c r="F22" s="3" t="n">
        <v>0.8</v>
      </c>
      <c r="G22" s="3" t="n">
        <v>1</v>
      </c>
      <c r="H22" s="3">
        <f>ROUND((E22+D22*VLOOKUP(C22,Constants!$A$6:$G$11,2,0))*Constants!$B$2,2)</f>
        <v/>
      </c>
      <c r="I22" s="3">
        <f>ROUND((F22+D22*VLOOKUP(C22,Constants!$A$6:$G$11,3,0))*Constants!$B$2,2)</f>
        <v/>
      </c>
      <c r="J22" s="3">
        <f>ROUND((G22+D22*VLOOKUP(C22,Constants!$A$6:$G$11,4,0))*Constants!$B$2,2)</f>
        <v/>
      </c>
      <c r="K22" s="3">
        <f>ROUND((E22+D22*VLOOKUP(C22,Constants!$A$6:$G$11,5,0))*Constants!$B$1,2)</f>
        <v/>
      </c>
      <c r="L22" s="3">
        <f>ROUND((F22+D22*VLOOKUP(C22,Constants!$A$6:$G$11,6,0))*Constants!$B$1,2)</f>
        <v/>
      </c>
      <c r="M22" s="3">
        <f>ROUND((G22+D22*VLOOKUP(C22,Constants!$A$6:$G$11,7,0))*Constants!$B$1,2)</f>
        <v/>
      </c>
    </row>
    <row r="23">
      <c r="A23" s="2" t="inlineStr">
        <is>
          <t>RK_BulletProofHelmet</t>
        </is>
      </c>
      <c r="B23" s="2" t="inlineStr">
        <is>
          <t>Metallic</t>
        </is>
      </c>
      <c r="C23" s="2" t="inlineStr">
        <is>
          <t>Metallic</t>
        </is>
      </c>
      <c r="D23" s="3" t="n">
        <v>0.5</v>
      </c>
      <c r="E23" s="3" t="n">
        <v>0.3</v>
      </c>
      <c r="F23" s="3" t="n">
        <v>0.4</v>
      </c>
      <c r="G23" s="3" t="n">
        <v>0</v>
      </c>
      <c r="H23" s="3">
        <f>ROUND((E23+D23*VLOOKUP(C23,Constants!$A$6:$G$11,2,0))*Constants!$B$2,2)</f>
        <v/>
      </c>
      <c r="I23" s="3">
        <f>ROUND((F23+D23*VLOOKUP(C23,Constants!$A$6:$G$11,3,0))*Constants!$B$2,2)</f>
        <v/>
      </c>
      <c r="J23" s="3">
        <f>ROUND((G23+D23*VLOOKUP(C23,Constants!$A$6:$G$11,4,0))*Constants!$B$2,2)</f>
        <v/>
      </c>
      <c r="K23" s="3">
        <f>ROUND((E23+D23*VLOOKUP(C23,Constants!$A$6:$G$11,5,0))*Constants!$B$1,2)</f>
        <v/>
      </c>
      <c r="L23" s="3">
        <f>ROUND((F23+D23*VLOOKUP(C23,Constants!$A$6:$G$11,6,0))*Constants!$B$1,2)</f>
        <v/>
      </c>
      <c r="M23" s="3">
        <f>ROUND((G23+D23*VLOOKUP(C23,Constants!$A$6:$G$11,7,0))*Constants!$B$1,2)</f>
        <v/>
      </c>
    </row>
    <row r="24">
      <c r="A24" s="2" t="inlineStr">
        <is>
          <t>RK_Apparel_GasMask</t>
        </is>
      </c>
      <c r="B24" s="2" t="inlineStr">
        <is>
          <t>Metallic</t>
        </is>
      </c>
      <c r="C24" s="2" t="inlineStr">
        <is>
          <t>Metallic</t>
        </is>
      </c>
      <c r="D24" s="3" t="n">
        <v>0.6</v>
      </c>
      <c r="E24" s="3" t="n">
        <v>0.45</v>
      </c>
      <c r="F24" s="3" t="n">
        <v>0.25</v>
      </c>
      <c r="G24" s="3" t="n">
        <v>0.5</v>
      </c>
      <c r="H24" s="3">
        <f>ROUND((E24+D24*VLOOKUP(C24,Constants!$A$6:$G$11,2,0))*Constants!$B$2,2)</f>
        <v/>
      </c>
      <c r="I24" s="3">
        <f>ROUND((F24+D24*VLOOKUP(C24,Constants!$A$6:$G$11,3,0))*Constants!$B$2,2)</f>
        <v/>
      </c>
      <c r="J24" s="3">
        <f>ROUND((G24+D24*VLOOKUP(C24,Constants!$A$6:$G$11,4,0))*Constants!$B$2,2)</f>
        <v/>
      </c>
      <c r="K24" s="3">
        <f>ROUND((E24+D24*VLOOKUP(C24,Constants!$A$6:$G$11,5,0))*Constants!$B$1,2)</f>
        <v/>
      </c>
      <c r="L24" s="3">
        <f>ROUND((F24+D24*VLOOKUP(C24,Constants!$A$6:$G$11,6,0))*Constants!$B$1,2)</f>
        <v/>
      </c>
      <c r="M24" s="3">
        <f>ROUND((G24+D24*VLOOKUP(C24,Constants!$A$6:$G$11,7,0))*Constants!$B$1,2)</f>
        <v/>
      </c>
    </row>
    <row r="25">
      <c r="A25" s="2" t="inlineStr">
        <is>
          <t>RK_PlateHelmA</t>
        </is>
      </c>
      <c r="B25" s="2" t="inlineStr">
        <is>
          <t>Metallic</t>
        </is>
      </c>
      <c r="C25" s="2" t="inlineStr">
        <is>
          <t>Metallic</t>
        </is>
      </c>
      <c r="D25" s="3" t="n">
        <v>0.35</v>
      </c>
      <c r="E25" s="3" t="n">
        <v>0.4</v>
      </c>
      <c r="F25" s="3" t="n">
        <v>0.2</v>
      </c>
      <c r="G25" s="3" t="n">
        <v>0</v>
      </c>
      <c r="H25" s="3">
        <f>ROUND((E25+D25*VLOOKUP(C25,Constants!$A$6:$G$11,2,0))*Constants!$B$2,2)</f>
        <v/>
      </c>
      <c r="I25" s="3">
        <f>ROUND((F25+D25*VLOOKUP(C25,Constants!$A$6:$G$11,3,0))*Constants!$B$2,2)</f>
        <v/>
      </c>
      <c r="J25" s="3">
        <f>ROUND((G25+D25*VLOOKUP(C25,Constants!$A$6:$G$11,4,0))*Constants!$B$2,2)</f>
        <v/>
      </c>
      <c r="K25" s="3">
        <f>ROUND((E25+D25*VLOOKUP(C25,Constants!$A$6:$G$11,5,0))*Constants!$B$1,2)</f>
        <v/>
      </c>
      <c r="L25" s="3">
        <f>ROUND((F25+D25*VLOOKUP(C25,Constants!$A$6:$G$11,6,0))*Constants!$B$1,2)</f>
        <v/>
      </c>
      <c r="M25" s="3">
        <f>ROUND((G25+D25*VLOOKUP(C25,Constants!$A$6:$G$11,7,0))*Constants!$B$1,2)</f>
        <v/>
      </c>
    </row>
    <row r="26">
      <c r="A26" s="2" t="inlineStr">
        <is>
          <t>RK_PlateHelmB</t>
        </is>
      </c>
      <c r="B26" s="2" t="inlineStr">
        <is>
          <t>Metallic</t>
        </is>
      </c>
      <c r="C26" s="2" t="inlineStr">
        <is>
          <t>Metallic</t>
        </is>
      </c>
      <c r="D26" s="3" t="n">
        <v>0.35</v>
      </c>
      <c r="E26" s="3" t="n">
        <v>0.4</v>
      </c>
      <c r="F26" s="3" t="n">
        <v>0.2</v>
      </c>
      <c r="G26" s="3" t="n">
        <v>0</v>
      </c>
      <c r="H26" s="3">
        <f>ROUND((E26+D26*VLOOKUP(C26,Constants!$A$6:$G$11,2,0))*Constants!$B$2,2)</f>
        <v/>
      </c>
      <c r="I26" s="3">
        <f>ROUND((F26+D26*VLOOKUP(C26,Constants!$A$6:$G$11,3,0))*Constants!$B$2,2)</f>
        <v/>
      </c>
      <c r="J26" s="3">
        <f>ROUND((G26+D26*VLOOKUP(C26,Constants!$A$6:$G$11,4,0))*Constants!$B$2,2)</f>
        <v/>
      </c>
      <c r="K26" s="3">
        <f>ROUND((E26+D26*VLOOKUP(C26,Constants!$A$6:$G$11,5,0))*Constants!$B$1,2)</f>
        <v/>
      </c>
      <c r="L26" s="3">
        <f>ROUND((F26+D26*VLOOKUP(C26,Constants!$A$6:$G$11,6,0))*Constants!$B$1,2)</f>
        <v/>
      </c>
      <c r="M26" s="3">
        <f>ROUND((G26+D26*VLOOKUP(C26,Constants!$A$6:$G$11,7,0))*Constants!$B$1,2)</f>
        <v/>
      </c>
    </row>
    <row r="27">
      <c r="A27" s="2" t="inlineStr">
        <is>
          <t>RK_PlateHelmC</t>
        </is>
      </c>
      <c r="B27" s="2" t="inlineStr">
        <is>
          <t>Metallic</t>
        </is>
      </c>
      <c r="C27" s="2" t="inlineStr">
        <is>
          <t>Metallic</t>
        </is>
      </c>
      <c r="D27" s="3" t="n">
        <v>0.35</v>
      </c>
      <c r="E27" s="3" t="n">
        <v>0.4</v>
      </c>
      <c r="F27" s="3" t="n">
        <v>0.2</v>
      </c>
      <c r="G27" s="3" t="n">
        <v>0</v>
      </c>
      <c r="H27" s="3">
        <f>ROUND((E27+D27*VLOOKUP(C27,Constants!$A$6:$G$11,2,0))*Constants!$B$2,2)</f>
        <v/>
      </c>
      <c r="I27" s="3">
        <f>ROUND((F27+D27*VLOOKUP(C27,Constants!$A$6:$G$11,3,0))*Constants!$B$2,2)</f>
        <v/>
      </c>
      <c r="J27" s="3">
        <f>ROUND((G27+D27*VLOOKUP(C27,Constants!$A$6:$G$11,4,0))*Constants!$B$2,2)</f>
        <v/>
      </c>
      <c r="K27" s="3">
        <f>ROUND((E27+D27*VLOOKUP(C27,Constants!$A$6:$G$11,5,0))*Constants!$B$1,2)</f>
        <v/>
      </c>
      <c r="L27" s="3">
        <f>ROUND((F27+D27*VLOOKUP(C27,Constants!$A$6:$G$11,6,0))*Constants!$B$1,2)</f>
        <v/>
      </c>
      <c r="M27" s="3">
        <f>ROUND((G27+D27*VLOOKUP(C27,Constants!$A$6:$G$11,7,0))*Constants!$B$1,2)</f>
        <v/>
      </c>
    </row>
    <row r="28">
      <c r="A28" s="2" t="inlineStr">
        <is>
          <t>RK_Mask</t>
        </is>
      </c>
      <c r="B28" s="2" t="inlineStr">
        <is>
          <t>Metallic</t>
        </is>
      </c>
      <c r="C28" s="2" t="inlineStr">
        <is>
          <t>Metallic</t>
        </is>
      </c>
      <c r="D28" s="3" t="n">
        <v>0.6</v>
      </c>
      <c r="E28" s="3" t="n">
        <v>0.45</v>
      </c>
      <c r="F28" s="3" t="n">
        <v>0.25</v>
      </c>
      <c r="G28" s="3" t="n">
        <v>0.5</v>
      </c>
      <c r="H28" s="3">
        <f>ROUND((E28+D28*VLOOKUP(C28,Constants!$A$6:$G$11,2,0))*Constants!$B$2,2)</f>
        <v/>
      </c>
      <c r="I28" s="3">
        <f>ROUND((F28+D28*VLOOKUP(C28,Constants!$A$6:$G$11,3,0))*Constants!$B$2,2)</f>
        <v/>
      </c>
      <c r="J28" s="3">
        <f>ROUND((G28+D28*VLOOKUP(C28,Constants!$A$6:$G$11,4,0))*Constants!$B$2,2)</f>
        <v/>
      </c>
      <c r="K28" s="3">
        <f>ROUND((E28+D28*VLOOKUP(C28,Constants!$A$6:$G$11,5,0))*Constants!$B$1,2)</f>
        <v/>
      </c>
      <c r="L28" s="3">
        <f>ROUND((F28+D28*VLOOKUP(C28,Constants!$A$6:$G$11,6,0))*Constants!$B$1,2)</f>
        <v/>
      </c>
      <c r="M28" s="3">
        <f>ROUND((G28+D28*VLOOKUP(C28,Constants!$A$6:$G$11,7,0))*Constants!$B$1,2)</f>
        <v/>
      </c>
    </row>
    <row r="29">
      <c r="A29" s="2" t="inlineStr">
        <is>
          <t>RK_MaskB</t>
        </is>
      </c>
      <c r="B29" s="2" t="inlineStr">
        <is>
          <t>Metallic</t>
        </is>
      </c>
      <c r="C29" s="2" t="inlineStr">
        <is>
          <t>Metallic</t>
        </is>
      </c>
      <c r="D29" s="3" t="n">
        <v>0.6</v>
      </c>
      <c r="E29" s="3" t="n">
        <v>0.45</v>
      </c>
      <c r="F29" s="3" t="n">
        <v>0.25</v>
      </c>
      <c r="G29" s="3" t="n">
        <v>0.5</v>
      </c>
      <c r="H29" s="3">
        <f>ROUND((E29+D29*VLOOKUP(C29,Constants!$A$6:$G$11,2,0))*Constants!$B$2,2)</f>
        <v/>
      </c>
      <c r="I29" s="3">
        <f>ROUND((F29+D29*VLOOKUP(C29,Constants!$A$6:$G$11,3,0))*Constants!$B$2,2)</f>
        <v/>
      </c>
      <c r="J29" s="3">
        <f>ROUND((G29+D29*VLOOKUP(C29,Constants!$A$6:$G$11,4,0))*Constants!$B$2,2)</f>
        <v/>
      </c>
      <c r="K29" s="3">
        <f>ROUND((E29+D29*VLOOKUP(C29,Constants!$A$6:$G$11,5,0))*Constants!$B$1,2)</f>
        <v/>
      </c>
      <c r="L29" s="3">
        <f>ROUND((F29+D29*VLOOKUP(C29,Constants!$A$6:$G$11,6,0))*Constants!$B$1,2)</f>
        <v/>
      </c>
      <c r="M29" s="3">
        <f>ROUND((G29+D29*VLOOKUP(C29,Constants!$A$6:$G$11,7,0))*Constants!$B$1,2)</f>
        <v/>
      </c>
    </row>
  </sheetData>
  <autoFilter ref="A1:M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QualityLegendary</t>
        </is>
      </c>
      <c r="B1" t="n">
        <v>1.8</v>
      </c>
    </row>
    <row r="2">
      <c r="A2" t="inlineStr">
        <is>
          <t>QualityNormal</t>
        </is>
      </c>
      <c r="B2" t="n">
        <v>1</v>
      </c>
    </row>
    <row r="3">
      <c r="A3" t="inlineStr">
        <is>
          <t>(전설/평범 품질 계수, HighEnd/LowEnd)</t>
        </is>
      </c>
    </row>
    <row r="6">
      <c r="A6" t="inlineStr">
        <is>
          <t>CategoryKey</t>
        </is>
      </c>
      <c r="B6" t="inlineStr">
        <is>
          <t>Low_S</t>
        </is>
      </c>
      <c r="C6" t="inlineStr">
        <is>
          <t>Low_B</t>
        </is>
      </c>
      <c r="D6" t="inlineStr">
        <is>
          <t>Low_H</t>
        </is>
      </c>
      <c r="E6" t="inlineStr">
        <is>
          <t>High_S</t>
        </is>
      </c>
      <c r="F6" t="inlineStr">
        <is>
          <t>High_B</t>
        </is>
      </c>
      <c r="G6" t="inlineStr">
        <is>
          <t>High_H</t>
        </is>
      </c>
    </row>
    <row r="7">
      <c r="A7" t="inlineStr">
        <is>
          <t>Metallic</t>
        </is>
      </c>
      <c r="B7" t="n">
        <v>0.9</v>
      </c>
      <c r="C7" t="n">
        <v>0.45</v>
      </c>
      <c r="D7" t="n">
        <v>0.6</v>
      </c>
      <c r="E7" t="n">
        <v>1.14</v>
      </c>
      <c r="F7" t="n">
        <v>0.55</v>
      </c>
      <c r="G7" t="n">
        <v>0.65</v>
      </c>
    </row>
    <row r="8">
      <c r="A8" t="inlineStr">
        <is>
          <t>Leathery</t>
        </is>
      </c>
      <c r="B8" t="n">
        <v>0.8100000000000001</v>
      </c>
      <c r="C8" t="n">
        <v>0.24</v>
      </c>
      <c r="D8" t="n">
        <v>1.5</v>
      </c>
      <c r="E8" t="n">
        <v>2.08</v>
      </c>
      <c r="F8" t="n">
        <v>0.36</v>
      </c>
      <c r="G8" t="n">
        <v>1.5</v>
      </c>
    </row>
    <row r="9">
      <c r="A9" t="inlineStr">
        <is>
          <t>Woody</t>
        </is>
      </c>
      <c r="B9" t="n">
        <v>0.54</v>
      </c>
      <c r="C9" t="n">
        <v>0.54</v>
      </c>
      <c r="D9" t="n">
        <v>0.4</v>
      </c>
      <c r="E9" t="n">
        <v>0.54</v>
      </c>
      <c r="F9" t="n">
        <v>0.54</v>
      </c>
      <c r="G9" t="n">
        <v>0.4</v>
      </c>
    </row>
    <row r="10">
      <c r="A10" t="inlineStr">
        <is>
          <t>Bioferrite</t>
        </is>
      </c>
      <c r="B10" t="n">
        <v>1.1</v>
      </c>
      <c r="C10" t="n">
        <v>0.5</v>
      </c>
      <c r="D10" t="n">
        <v>0.5</v>
      </c>
      <c r="E10" t="n">
        <v>1.1</v>
      </c>
      <c r="F10" t="n">
        <v>0.5</v>
      </c>
      <c r="G10" t="n">
        <v>0.5</v>
      </c>
    </row>
    <row r="11">
      <c r="A11" t="inlineStr">
        <is>
          <t>Fixed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2026-03-11T19:03:40Z</dcterms:created>
  <dcterms:modified xsi:type="dcterms:W3CDTF">2026-03-11T19:03:40Z</dcterms:modified>
</cp:coreProperties>
</file>